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gracebianchi/Desktop/ZNE_Capital_GP/data/raw/"/>
    </mc:Choice>
  </mc:AlternateContent>
  <xr:revisionPtr revIDLastSave="0" documentId="13_ncr:1_{9E9BE864-48E6-DE40-AA5F-AAE5E2E736F8}" xr6:coauthVersionLast="47" xr6:coauthVersionMax="47" xr10:uidLastSave="{00000000-0000-0000-0000-000000000000}"/>
  <bookViews>
    <workbookView xWindow="380" yWindow="500" windowWidth="17180" windowHeight="16000" activeTab="1" xr2:uid="{E05E4614-4B11-1645-BA12-C4A5401CA7E3}"/>
  </bookViews>
  <sheets>
    <sheet name="security_deposit"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 i="2" l="1"/>
  <c r="B59" i="2"/>
  <c r="B58" i="2"/>
  <c r="B57" i="2"/>
  <c r="B56" i="2"/>
  <c r="B55" i="2"/>
  <c r="B54" i="2"/>
  <c r="B53" i="2"/>
  <c r="B52" i="2"/>
  <c r="B51" i="2"/>
  <c r="B50" i="2"/>
  <c r="B49" i="2"/>
  <c r="B48" i="2"/>
  <c r="B46" i="2"/>
  <c r="B44" i="2"/>
  <c r="B43" i="2"/>
  <c r="B42" i="2"/>
  <c r="B41" i="2"/>
  <c r="B40" i="2"/>
  <c r="B39" i="2"/>
  <c r="B38" i="2"/>
  <c r="B37" i="2"/>
  <c r="B36" i="2"/>
  <c r="B35" i="2"/>
  <c r="B34" i="2"/>
  <c r="B33" i="2"/>
  <c r="B32" i="2"/>
  <c r="B31" i="2"/>
  <c r="B30" i="2"/>
  <c r="B29" i="2"/>
  <c r="B28" i="2"/>
  <c r="B27" i="2"/>
  <c r="B26" i="2"/>
  <c r="B24" i="2"/>
  <c r="B23" i="2"/>
  <c r="B22" i="2"/>
  <c r="B21" i="2"/>
  <c r="B20" i="2"/>
  <c r="B19" i="2"/>
  <c r="B18" i="2"/>
  <c r="B17" i="2"/>
  <c r="B16" i="2"/>
  <c r="B15" i="2"/>
  <c r="B14" i="2"/>
  <c r="B13" i="2"/>
  <c r="B11" i="2"/>
  <c r="B10" i="2"/>
  <c r="B9" i="2"/>
  <c r="B8" i="2"/>
  <c r="B7" i="2"/>
  <c r="B6" i="2"/>
  <c r="B5" i="2"/>
  <c r="B4" i="2"/>
  <c r="B3" i="2"/>
  <c r="B2" i="2"/>
</calcChain>
</file>

<file path=xl/sharedStrings.xml><?xml version="1.0" encoding="utf-8"?>
<sst xmlns="http://schemas.openxmlformats.org/spreadsheetml/2006/main" count="165" uniqueCount="89">
  <si>
    <t>State</t>
  </si>
  <si>
    <t>Limit</t>
  </si>
  <si>
    <t>Alabama</t>
  </si>
  <si>
    <t>One month's rent, except for pet deposits, deposits to cover undoing tenant's alterations, deposits to cover tenant activities that pose increased liability risks.</t>
  </si>
  <si>
    <t>Alaska</t>
  </si>
  <si>
    <t>Two months' rent, unless rent exceeds $2,000 per month. Landlord may ask for an additional month's rent as deposit for a pet that is not a service animal, but may use it only to remedy pet damage.</t>
  </si>
  <si>
    <t>Arizona</t>
  </si>
  <si>
    <t>One and one-half months' rent</t>
  </si>
  <si>
    <t>Arkansas</t>
  </si>
  <si>
    <t>Two months' rent, but this limit does not apply to landlords who own 5 or fewer properties, unless the landlord has hired a third party to manage the property.</t>
  </si>
  <si>
    <t>California</t>
  </si>
  <si>
    <t>Two months' rent (unfurnished); three months' rent (furnished). If the tenant is an active service member, no more than one month's rent (unfurnished) or two months' rent (furnished). Add extra one-half month's rent for waterbed.</t>
  </si>
  <si>
    <t>Colorado</t>
  </si>
  <si>
    <t>No statutory limit</t>
  </si>
  <si>
    <t>Connecticut</t>
  </si>
  <si>
    <t>Two months' rent (tenant under 62 years of age); one month's rent (tenant 62 years of age or older). Tenants who paid a deposit in excess of one month's rent, who then turn 62 years old, are entitled, upon request, to a refund of the amount that exceeds one month's rent.</t>
  </si>
  <si>
    <t>Delaware</t>
  </si>
  <si>
    <t>One month's rent on leases for one year or more. For month to month tenancies, no limit for the first year, but after that, the limit is one month's rent (at the expiration of one year, landlord must give tenant a credit for any deposit held by the landlord that is in excess of one month's rent). No limit for furnished units. Tenant may offer to supply a surety bond in lieu of or in conjunction with a deposit, which landlord may elect to receive.</t>
  </si>
  <si>
    <t>District of Columbia</t>
  </si>
  <si>
    <t>One month's rent</t>
  </si>
  <si>
    <t>Florida</t>
  </si>
  <si>
    <t>Georgia</t>
  </si>
  <si>
    <t>Hawaii</t>
  </si>
  <si>
    <t>One month's rent. Landlord may require an additional one month's rent as security deposit for tenants who keep a pet.</t>
  </si>
  <si>
    <t>Idaho</t>
  </si>
  <si>
    <t>Illinois</t>
  </si>
  <si>
    <t>Indiana</t>
  </si>
  <si>
    <t>Iowa</t>
  </si>
  <si>
    <t>Two months' rent</t>
  </si>
  <si>
    <t>Kansas</t>
  </si>
  <si>
    <t>One month's rent (unfurnished); one and one-half month's rent (furnished); for pets, add extra one-half month's rent.</t>
  </si>
  <si>
    <t>Kentucky</t>
  </si>
  <si>
    <t>Louisiana</t>
  </si>
  <si>
    <t>Maine</t>
  </si>
  <si>
    <t>Maryland</t>
  </si>
  <si>
    <t>Massachusetts</t>
  </si>
  <si>
    <t>Michigan</t>
  </si>
  <si>
    <t>Minnesota</t>
  </si>
  <si>
    <t>No statutory limit. If landlord collects a "prelease deposit" and subsequently rents to tenant, landlord must apply the prelease deposit to the security deposit.</t>
  </si>
  <si>
    <t>Mississippi</t>
  </si>
  <si>
    <t>Missouri</t>
  </si>
  <si>
    <t>Montana</t>
  </si>
  <si>
    <t>Nebraska</t>
  </si>
  <si>
    <t>One month's rent (no pets); one and one-quarter months' rent (pets).</t>
  </si>
  <si>
    <t>Nevada</t>
  </si>
  <si>
    <t>Three months' rent; if both landlord and tenant agree, tenant may use a surety bond for all or part of the deposit.</t>
  </si>
  <si>
    <t>New Hampshire</t>
  </si>
  <si>
    <t>One month's rent or $100, whichever is greater; no limit when landlord and tenant share facilities.</t>
  </si>
  <si>
    <t>New Jersey</t>
  </si>
  <si>
    <t>One and one-half month's rent. Any additional security deposit, collected annually, may be no greater than 10% of the current security deposit.</t>
  </si>
  <si>
    <t>New Mexico</t>
  </si>
  <si>
    <t>One month's rent (for rental agreement of less than one year); no limit for leases of one year or more.</t>
  </si>
  <si>
    <t>New York</t>
  </si>
  <si>
    <t>One month's limit for units other than those subject to the City Rent and Rehabilitation Law or the Emergency Housing Rent Control Law.</t>
  </si>
  <si>
    <t>North Carolina</t>
  </si>
  <si>
    <t>One and one-half months' rent for month-to-month rental agreements; two months' rent if term is longer than two months; may add an additional "reasonable" nonrefundable pet deposit.</t>
  </si>
  <si>
    <t>North Dakota</t>
  </si>
  <si>
    <t>One month's rent. If tenant has a pet, an additional pet deposit of up to $2,500 or two months' rent, whichever is greater. To encourage renting to persons with records of felony convictions, landlords may charge these applicants up to two months' rent as security. Applicants who have had court judgments entered against them "for violating the terms of a previous rental agreement" can also be charged up to two months' rent (this appears to refer to prior evictions and might not apply to evictions based on conduct not prohibited by the rental agreement).</t>
  </si>
  <si>
    <t>Ohio</t>
  </si>
  <si>
    <t>Oklahoma</t>
  </si>
  <si>
    <t>Oregon</t>
  </si>
  <si>
    <t>No statutory limit. Landlord may not impose or increase deposit within first year unless parties agree to modify the rental agreement to allow for a pet or other cause, and the imposition or increase relates to that modification.</t>
  </si>
  <si>
    <t>Pennsylvania</t>
  </si>
  <si>
    <t>Two months' rent for first year of renting; one month's rent during second and subsequent years of renting.</t>
  </si>
  <si>
    <t>Rhode Island</t>
  </si>
  <si>
    <t>South Carolina</t>
  </si>
  <si>
    <t>South Dakota</t>
  </si>
  <si>
    <t>One month's rent (higher deposit may be charged if special conditions pose a danger to maintenance of the premises).</t>
  </si>
  <si>
    <t>Tennessee</t>
  </si>
  <si>
    <t>Texas</t>
  </si>
  <si>
    <t>Utah</t>
  </si>
  <si>
    <t>Vermont</t>
  </si>
  <si>
    <t>Virginia</t>
  </si>
  <si>
    <t>Two months' rent. Alternatively, landlord may permit a tenant to provide damage insurance coverage in an amount not more than two months' rent in lieu of the payment of a security deposit. The damage insurance coverage must meet the requirements listed in Virginia Code Annotated sections 55.1-1226(I)-(K).</t>
  </si>
  <si>
    <t>Washington</t>
  </si>
  <si>
    <t>Landlords must allow tenants to pay the deposit and fees in installments (does not apply if the deposit and any nonrefundable fees are less than 25% of the monthly rent, or the landlord has not demanded the last month's rent). Tenants with tenancies of three months or more may pay in three equal and consecutive installments, beginning at the start of the tenancy; two installments for shorter tenancies. Installment schedules must be written and signed. Does not apply to holding deposits (which may not be more than 25% of the first month's rent).</t>
  </si>
  <si>
    <t>West Virginia</t>
  </si>
  <si>
    <t>Wisconsin</t>
  </si>
  <si>
    <t>Wyoming</t>
  </si>
  <si>
    <t>Jurisdictions</t>
  </si>
  <si>
    <t>American Samoa</t>
  </si>
  <si>
    <t>Federated States of Micronesia</t>
  </si>
  <si>
    <t>Guam</t>
  </si>
  <si>
    <t>Marshall Islands</t>
  </si>
  <si>
    <t>Northern Mariana Islands</t>
  </si>
  <si>
    <t>Palau</t>
  </si>
  <si>
    <t>Puerto Rico</t>
  </si>
  <si>
    <t>United States Virgin Islands</t>
  </si>
  <si>
    <t>SEL_MinNonpayment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</si>
</sst>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u/>
      <sz val="12"/>
      <color theme="10"/>
      <name val="Calibri"/>
      <family val="2"/>
      <scheme val="minor"/>
    </font>
    <font>
      <sz val="12"/>
      <color rgb="FF272727"/>
      <name val="Helvetica Neue"/>
      <family val="2"/>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applyFont="1"/>
    <xf numFmtId="0" fontId="2" fillId="0" borderId="0" xfId="0" applyFont="1"/>
    <xf numFmtId="0" fontId="0" fillId="0" borderId="0" xfId="0" applyFont="1"/>
    <xf numFmtId="0" fontId="3" fillId="2"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olo.com/legal-encyclopedia/illinois-security-deposits-36207.html" TargetMode="External"/><Relationship Id="rId13" Type="http://schemas.openxmlformats.org/officeDocument/2006/relationships/hyperlink" Target="https://www.nolo.com/legal-encyclopedia/michigan-security-deposits-36189.html" TargetMode="External"/><Relationship Id="rId18" Type="http://schemas.openxmlformats.org/officeDocument/2006/relationships/hyperlink" Target="https://www.nolo.com/legal-encyclopedia/new-york-security-deposits-36183.html" TargetMode="External"/><Relationship Id="rId26" Type="http://schemas.openxmlformats.org/officeDocument/2006/relationships/hyperlink" Target="https://www.nolo.com/legal-encyclopedia/virginia-security-deposits-36236.html" TargetMode="External"/><Relationship Id="rId3" Type="http://schemas.openxmlformats.org/officeDocument/2006/relationships/hyperlink" Target="https://www.nolo.com/legal-encyclopedia/colorado-security-deposits-36200.html" TargetMode="External"/><Relationship Id="rId21" Type="http://schemas.openxmlformats.org/officeDocument/2006/relationships/hyperlink" Target="https://www.nolo.com/legal-encyclopedia/oregon-security-deposits-36228.html" TargetMode="External"/><Relationship Id="rId7" Type="http://schemas.openxmlformats.org/officeDocument/2006/relationships/hyperlink" Target="https://www.nolo.com/legal-encyclopedia/georgia-security-deposits-36205.html" TargetMode="External"/><Relationship Id="rId12" Type="http://schemas.openxmlformats.org/officeDocument/2006/relationships/hyperlink" Target="https://www.nolo.com/legal-encyclopedia/massachusetts-security-deposits-36215.html" TargetMode="External"/><Relationship Id="rId17" Type="http://schemas.openxmlformats.org/officeDocument/2006/relationships/hyperlink" Target="https://www.nolo.com/legal-encyclopedia/new-jersey-security-deposits-36223.html" TargetMode="External"/><Relationship Id="rId25" Type="http://schemas.openxmlformats.org/officeDocument/2006/relationships/hyperlink" Target="https://www.nolo.com/legal-encyclopedia/texas-security-deposits-36234.html" TargetMode="External"/><Relationship Id="rId2" Type="http://schemas.openxmlformats.org/officeDocument/2006/relationships/hyperlink" Target="https://www.nolo.com/legal-encyclopedia/california-security-deposits-36199.html" TargetMode="External"/><Relationship Id="rId16" Type="http://schemas.openxmlformats.org/officeDocument/2006/relationships/hyperlink" Target="https://www.nolo.com/legal-encyclopedia/nevada-security-deposits-36221.html" TargetMode="External"/><Relationship Id="rId20" Type="http://schemas.openxmlformats.org/officeDocument/2006/relationships/hyperlink" Target="https://www.nolo.com/legal-encyclopedia/ohio-security-deposits-36226.html" TargetMode="External"/><Relationship Id="rId1" Type="http://schemas.openxmlformats.org/officeDocument/2006/relationships/hyperlink" Target="https://www.nolo.com/legal-encyclopedia/arizona-security-deposits-36197.html" TargetMode="External"/><Relationship Id="rId6" Type="http://schemas.openxmlformats.org/officeDocument/2006/relationships/hyperlink" Target="https://www.nolo.com/legal-encyclopedia/florida-security-deposits-36204.html" TargetMode="External"/><Relationship Id="rId11" Type="http://schemas.openxmlformats.org/officeDocument/2006/relationships/hyperlink" Target="https://www.nolo.com/legal-encyclopedia/maryland-security-deposits-36214.html" TargetMode="External"/><Relationship Id="rId24" Type="http://schemas.openxmlformats.org/officeDocument/2006/relationships/hyperlink" Target="https://www.nolo.com/legal-encyclopedia/tennessee-security-deposits-36233.html" TargetMode="External"/><Relationship Id="rId5" Type="http://schemas.openxmlformats.org/officeDocument/2006/relationships/hyperlink" Target="https://www.nolo.com/legal-encyclopedia/dc-district-of-columbia-security-deposits-36203.html" TargetMode="External"/><Relationship Id="rId15" Type="http://schemas.openxmlformats.org/officeDocument/2006/relationships/hyperlink" Target="https://www.nolo.com/legal-encyclopedia/missouri-security-deposits-36218.html" TargetMode="External"/><Relationship Id="rId23" Type="http://schemas.openxmlformats.org/officeDocument/2006/relationships/hyperlink" Target="https://www.nolo.com/legal-encyclopedia/south-carolina-security-deposits-36231.html" TargetMode="External"/><Relationship Id="rId28" Type="http://schemas.openxmlformats.org/officeDocument/2006/relationships/hyperlink" Target="https://www.nolo.com/legal-encyclopedia/wisconsin-security-deposits-36194.html" TargetMode="External"/><Relationship Id="rId10" Type="http://schemas.openxmlformats.org/officeDocument/2006/relationships/hyperlink" Target="https://www.nolo.com/legal-encyclopedia/iowa-security-deposits-36209.html" TargetMode="External"/><Relationship Id="rId19" Type="http://schemas.openxmlformats.org/officeDocument/2006/relationships/hyperlink" Target="https://www.nolo.com/legal-encyclopedia/north-carolina-security-deposits-36225.html" TargetMode="External"/><Relationship Id="rId4" Type="http://schemas.openxmlformats.org/officeDocument/2006/relationships/hyperlink" Target="https://www.nolo.com/legal-encyclopedia/connecticut-security-deposits-36201.html" TargetMode="External"/><Relationship Id="rId9" Type="http://schemas.openxmlformats.org/officeDocument/2006/relationships/hyperlink" Target="https://www.nolo.com/legal-encyclopedia/indiana-security-deposits-36208.html" TargetMode="External"/><Relationship Id="rId14" Type="http://schemas.openxmlformats.org/officeDocument/2006/relationships/hyperlink" Target="https://www.nolo.com/legal-encyclopedia/minnesota-security-deposits-36216.html" TargetMode="External"/><Relationship Id="rId22" Type="http://schemas.openxmlformats.org/officeDocument/2006/relationships/hyperlink" Target="https://www.nolo.com/legal-encyclopedia/pennsylvania-security-deposits-36229.html" TargetMode="External"/><Relationship Id="rId27" Type="http://schemas.openxmlformats.org/officeDocument/2006/relationships/hyperlink" Target="https://www.nolo.com/legal-encyclopedia/washington-security-deposits-3619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AC9E3-A37D-5342-A9D2-5A40AFFF3AC4}">
  <dimension ref="A1:B52"/>
  <sheetViews>
    <sheetView topLeftCell="A20" workbookViewId="0">
      <selection activeCell="B1" sqref="B1"/>
    </sheetView>
  </sheetViews>
  <sheetFormatPr baseColWidth="10" defaultRowHeight="16" x14ac:dyDescent="0.2"/>
  <cols>
    <col min="1" max="1" width="17.5" style="3" bestFit="1" customWidth="1"/>
    <col min="2" max="2" width="255.83203125" style="3" bestFit="1" customWidth="1"/>
    <col min="3" max="16384" width="10.83203125" style="3"/>
  </cols>
  <sheetData>
    <row r="1" spans="1:2" x14ac:dyDescent="0.2">
      <c r="A1" s="2" t="s">
        <v>0</v>
      </c>
      <c r="B1" s="2" t="s">
        <v>1</v>
      </c>
    </row>
    <row r="2" spans="1:2" x14ac:dyDescent="0.2">
      <c r="A2" s="2" t="s">
        <v>2</v>
      </c>
      <c r="B2" s="2" t="s">
        <v>3</v>
      </c>
    </row>
    <row r="3" spans="1:2" x14ac:dyDescent="0.2">
      <c r="A3" s="2" t="s">
        <v>4</v>
      </c>
      <c r="B3" s="2" t="s">
        <v>5</v>
      </c>
    </row>
    <row r="4" spans="1:2" x14ac:dyDescent="0.2">
      <c r="A4" s="1" t="s">
        <v>6</v>
      </c>
      <c r="B4" s="2" t="s">
        <v>7</v>
      </c>
    </row>
    <row r="5" spans="1:2" x14ac:dyDescent="0.2">
      <c r="A5" s="2" t="s">
        <v>8</v>
      </c>
      <c r="B5" s="2" t="s">
        <v>9</v>
      </c>
    </row>
    <row r="6" spans="1:2" x14ac:dyDescent="0.2">
      <c r="A6" s="1" t="s">
        <v>10</v>
      </c>
      <c r="B6" s="2" t="s">
        <v>11</v>
      </c>
    </row>
    <row r="7" spans="1:2" x14ac:dyDescent="0.2">
      <c r="A7" s="1" t="s">
        <v>12</v>
      </c>
      <c r="B7" s="2" t="s">
        <v>13</v>
      </c>
    </row>
    <row r="8" spans="1:2" x14ac:dyDescent="0.2">
      <c r="A8" s="1" t="s">
        <v>14</v>
      </c>
      <c r="B8" s="2" t="s">
        <v>15</v>
      </c>
    </row>
    <row r="9" spans="1:2" x14ac:dyDescent="0.2">
      <c r="A9" s="2" t="s">
        <v>16</v>
      </c>
      <c r="B9" s="2" t="s">
        <v>17</v>
      </c>
    </row>
    <row r="10" spans="1:2" x14ac:dyDescent="0.2">
      <c r="A10" s="1" t="s">
        <v>18</v>
      </c>
      <c r="B10" s="2" t="s">
        <v>19</v>
      </c>
    </row>
    <row r="11" spans="1:2" x14ac:dyDescent="0.2">
      <c r="A11" s="1" t="s">
        <v>20</v>
      </c>
      <c r="B11" s="2" t="s">
        <v>13</v>
      </c>
    </row>
    <row r="12" spans="1:2" x14ac:dyDescent="0.2">
      <c r="A12" s="1" t="s">
        <v>21</v>
      </c>
      <c r="B12" s="2" t="s">
        <v>13</v>
      </c>
    </row>
    <row r="13" spans="1:2" x14ac:dyDescent="0.2">
      <c r="A13" s="2" t="s">
        <v>22</v>
      </c>
      <c r="B13" s="2" t="s">
        <v>23</v>
      </c>
    </row>
    <row r="14" spans="1:2" x14ac:dyDescent="0.2">
      <c r="A14" s="2" t="s">
        <v>24</v>
      </c>
      <c r="B14" s="2" t="s">
        <v>13</v>
      </c>
    </row>
    <row r="15" spans="1:2" x14ac:dyDescent="0.2">
      <c r="A15" s="1" t="s">
        <v>25</v>
      </c>
      <c r="B15" s="2" t="s">
        <v>13</v>
      </c>
    </row>
    <row r="16" spans="1:2" x14ac:dyDescent="0.2">
      <c r="A16" s="1" t="s">
        <v>26</v>
      </c>
      <c r="B16" s="2" t="s">
        <v>13</v>
      </c>
    </row>
    <row r="17" spans="1:2" x14ac:dyDescent="0.2">
      <c r="A17" s="1" t="s">
        <v>27</v>
      </c>
      <c r="B17" s="2" t="s">
        <v>28</v>
      </c>
    </row>
    <row r="18" spans="1:2" x14ac:dyDescent="0.2">
      <c r="A18" s="2" t="s">
        <v>29</v>
      </c>
      <c r="B18" s="2" t="s">
        <v>30</v>
      </c>
    </row>
    <row r="19" spans="1:2" x14ac:dyDescent="0.2">
      <c r="A19" s="2" t="s">
        <v>31</v>
      </c>
      <c r="B19" s="2" t="s">
        <v>13</v>
      </c>
    </row>
    <row r="20" spans="1:2" x14ac:dyDescent="0.2">
      <c r="A20" s="2" t="s">
        <v>32</v>
      </c>
      <c r="B20" s="2" t="s">
        <v>13</v>
      </c>
    </row>
    <row r="21" spans="1:2" x14ac:dyDescent="0.2">
      <c r="A21" s="2" t="s">
        <v>33</v>
      </c>
      <c r="B21" s="2" t="s">
        <v>28</v>
      </c>
    </row>
    <row r="22" spans="1:2" x14ac:dyDescent="0.2">
      <c r="A22" s="1" t="s">
        <v>34</v>
      </c>
      <c r="B22" s="2" t="s">
        <v>28</v>
      </c>
    </row>
    <row r="23" spans="1:2" x14ac:dyDescent="0.2">
      <c r="A23" s="1" t="s">
        <v>35</v>
      </c>
      <c r="B23" s="2" t="s">
        <v>19</v>
      </c>
    </row>
    <row r="24" spans="1:2" x14ac:dyDescent="0.2">
      <c r="A24" s="1" t="s">
        <v>36</v>
      </c>
      <c r="B24" s="2" t="s">
        <v>7</v>
      </c>
    </row>
    <row r="25" spans="1:2" x14ac:dyDescent="0.2">
      <c r="A25" s="1" t="s">
        <v>37</v>
      </c>
      <c r="B25" s="2" t="s">
        <v>38</v>
      </c>
    </row>
    <row r="26" spans="1:2" x14ac:dyDescent="0.2">
      <c r="A26" s="2" t="s">
        <v>39</v>
      </c>
      <c r="B26" s="2" t="s">
        <v>13</v>
      </c>
    </row>
    <row r="27" spans="1:2" x14ac:dyDescent="0.2">
      <c r="A27" s="1" t="s">
        <v>40</v>
      </c>
      <c r="B27" s="2" t="s">
        <v>28</v>
      </c>
    </row>
    <row r="28" spans="1:2" x14ac:dyDescent="0.2">
      <c r="A28" s="2" t="s">
        <v>41</v>
      </c>
      <c r="B28" s="2" t="s">
        <v>13</v>
      </c>
    </row>
    <row r="29" spans="1:2" x14ac:dyDescent="0.2">
      <c r="A29" s="2" t="s">
        <v>42</v>
      </c>
      <c r="B29" s="2" t="s">
        <v>43</v>
      </c>
    </row>
    <row r="30" spans="1:2" x14ac:dyDescent="0.2">
      <c r="A30" s="1" t="s">
        <v>44</v>
      </c>
      <c r="B30" s="2" t="s">
        <v>45</v>
      </c>
    </row>
    <row r="31" spans="1:2" x14ac:dyDescent="0.2">
      <c r="A31" s="2" t="s">
        <v>46</v>
      </c>
      <c r="B31" s="2" t="s">
        <v>47</v>
      </c>
    </row>
    <row r="32" spans="1:2" x14ac:dyDescent="0.2">
      <c r="A32" s="1" t="s">
        <v>48</v>
      </c>
      <c r="B32" s="2" t="s">
        <v>49</v>
      </c>
    </row>
    <row r="33" spans="1:2" x14ac:dyDescent="0.2">
      <c r="A33" s="2" t="s">
        <v>50</v>
      </c>
      <c r="B33" s="2" t="s">
        <v>51</v>
      </c>
    </row>
    <row r="34" spans="1:2" x14ac:dyDescent="0.2">
      <c r="A34" s="1" t="s">
        <v>52</v>
      </c>
      <c r="B34" s="2" t="s">
        <v>53</v>
      </c>
    </row>
    <row r="35" spans="1:2" x14ac:dyDescent="0.2">
      <c r="A35" s="1" t="s">
        <v>54</v>
      </c>
      <c r="B35" s="2" t="s">
        <v>55</v>
      </c>
    </row>
    <row r="36" spans="1:2" x14ac:dyDescent="0.2">
      <c r="A36" s="2" t="s">
        <v>56</v>
      </c>
      <c r="B36" s="2" t="s">
        <v>57</v>
      </c>
    </row>
    <row r="37" spans="1:2" x14ac:dyDescent="0.2">
      <c r="A37" s="1" t="s">
        <v>58</v>
      </c>
      <c r="B37" s="2" t="s">
        <v>13</v>
      </c>
    </row>
    <row r="38" spans="1:2" x14ac:dyDescent="0.2">
      <c r="A38" s="2" t="s">
        <v>59</v>
      </c>
      <c r="B38" s="2" t="s">
        <v>13</v>
      </c>
    </row>
    <row r="39" spans="1:2" x14ac:dyDescent="0.2">
      <c r="A39" s="1" t="s">
        <v>60</v>
      </c>
      <c r="B39" s="2" t="s">
        <v>61</v>
      </c>
    </row>
    <row r="40" spans="1:2" x14ac:dyDescent="0.2">
      <c r="A40" s="1" t="s">
        <v>62</v>
      </c>
      <c r="B40" s="2" t="s">
        <v>63</v>
      </c>
    </row>
    <row r="41" spans="1:2" x14ac:dyDescent="0.2">
      <c r="A41" s="2" t="s">
        <v>64</v>
      </c>
      <c r="B41" s="2" t="s">
        <v>19</v>
      </c>
    </row>
    <row r="42" spans="1:2" x14ac:dyDescent="0.2">
      <c r="A42" s="1" t="s">
        <v>65</v>
      </c>
      <c r="B42" s="2" t="s">
        <v>13</v>
      </c>
    </row>
    <row r="43" spans="1:2" x14ac:dyDescent="0.2">
      <c r="A43" s="2" t="s">
        <v>66</v>
      </c>
      <c r="B43" s="2" t="s">
        <v>67</v>
      </c>
    </row>
    <row r="44" spans="1:2" x14ac:dyDescent="0.2">
      <c r="A44" s="1" t="s">
        <v>68</v>
      </c>
      <c r="B44" s="2" t="s">
        <v>13</v>
      </c>
    </row>
    <row r="45" spans="1:2" x14ac:dyDescent="0.2">
      <c r="A45" s="1" t="s">
        <v>69</v>
      </c>
      <c r="B45" s="2" t="s">
        <v>13</v>
      </c>
    </row>
    <row r="46" spans="1:2" x14ac:dyDescent="0.2">
      <c r="A46" s="2" t="s">
        <v>70</v>
      </c>
      <c r="B46" s="2" t="s">
        <v>13</v>
      </c>
    </row>
    <row r="47" spans="1:2" x14ac:dyDescent="0.2">
      <c r="A47" s="2" t="s">
        <v>71</v>
      </c>
      <c r="B47" s="2" t="s">
        <v>13</v>
      </c>
    </row>
    <row r="48" spans="1:2" x14ac:dyDescent="0.2">
      <c r="A48" s="1" t="s">
        <v>72</v>
      </c>
      <c r="B48" s="2" t="s">
        <v>73</v>
      </c>
    </row>
    <row r="49" spans="1:2" x14ac:dyDescent="0.2">
      <c r="A49" s="1" t="s">
        <v>74</v>
      </c>
      <c r="B49" s="2" t="s">
        <v>75</v>
      </c>
    </row>
    <row r="50" spans="1:2" x14ac:dyDescent="0.2">
      <c r="A50" s="2" t="s">
        <v>76</v>
      </c>
      <c r="B50" s="2" t="s">
        <v>13</v>
      </c>
    </row>
    <row r="51" spans="1:2" x14ac:dyDescent="0.2">
      <c r="A51" s="1" t="s">
        <v>77</v>
      </c>
      <c r="B51" s="2" t="s">
        <v>13</v>
      </c>
    </row>
    <row r="52" spans="1:2" x14ac:dyDescent="0.2">
      <c r="A52" s="2" t="s">
        <v>78</v>
      </c>
      <c r="B52" s="2" t="s">
        <v>13</v>
      </c>
    </row>
  </sheetData>
  <hyperlinks>
    <hyperlink ref="A4" r:id="rId1" display="https://www.nolo.com/legal-encyclopedia/arizona-security-deposits-36197.html" xr:uid="{4D0C2BF5-ACB1-434B-98F0-7F8EE306ED9A}"/>
    <hyperlink ref="A6" r:id="rId2" display="https://www.nolo.com/legal-encyclopedia/california-security-deposits-36199.html" xr:uid="{938E8ECF-78E0-E04F-8227-4132D3B2646C}"/>
    <hyperlink ref="A7" r:id="rId3" display="https://www.nolo.com/legal-encyclopedia/colorado-security-deposits-36200.html" xr:uid="{7BF09AE2-F1AD-D943-B82F-6E390AFB36DE}"/>
    <hyperlink ref="A8" r:id="rId4" display="https://www.nolo.com/legal-encyclopedia/connecticut-security-deposits-36201.html" xr:uid="{5044438A-EC81-7644-915B-C06B630185E8}"/>
    <hyperlink ref="A10" r:id="rId5" display="https://www.nolo.com/legal-encyclopedia/dc-district-of-columbia-security-deposits-36203.html" xr:uid="{E0EF0F9F-06D5-034B-BBDA-82F7957EF23A}"/>
    <hyperlink ref="A11" r:id="rId6" display="https://www.nolo.com/legal-encyclopedia/florida-security-deposits-36204.html" xr:uid="{DDA57E09-686E-2C42-80B3-03D722D05B24}"/>
    <hyperlink ref="A12" r:id="rId7" display="https://www.nolo.com/legal-encyclopedia/georgia-security-deposits-36205.html" xr:uid="{605B90AB-6E12-C441-8DE2-7D6A512FC720}"/>
    <hyperlink ref="A15" r:id="rId8" display="https://www.nolo.com/legal-encyclopedia/illinois-security-deposits-36207.html" xr:uid="{BAF1F43B-4D5F-1A4E-A44D-258E83B996CD}"/>
    <hyperlink ref="A16" r:id="rId9" display="https://www.nolo.com/legal-encyclopedia/indiana-security-deposits-36208.html" xr:uid="{2956ECB7-B5BA-3B4F-9765-6A4E20F7DA88}"/>
    <hyperlink ref="A17" r:id="rId10" display="https://www.nolo.com/legal-encyclopedia/iowa-security-deposits-36209.html" xr:uid="{F8DE3910-B2CD-2647-88DB-2134861A8DE0}"/>
    <hyperlink ref="A22" r:id="rId11" display="https://www.nolo.com/legal-encyclopedia/maryland-security-deposits-36214.html" xr:uid="{71F4008E-2B4F-3448-8BBE-28D0AF312DCA}"/>
    <hyperlink ref="A23" r:id="rId12" display="https://www.nolo.com/legal-encyclopedia/massachusetts-security-deposits-36215.html" xr:uid="{BE259591-87B8-5340-95A0-02A075891C9E}"/>
    <hyperlink ref="A24" r:id="rId13" display="https://www.nolo.com/legal-encyclopedia/michigan-security-deposits-36189.html" xr:uid="{7B7B22E6-6627-AB44-A59C-0B5E3931A8EE}"/>
    <hyperlink ref="A25" r:id="rId14" display="https://www.nolo.com/legal-encyclopedia/minnesota-security-deposits-36216.html" xr:uid="{7D0BF0E4-B295-3C4A-A536-D752AFDE9C09}"/>
    <hyperlink ref="A27" r:id="rId15" display="https://www.nolo.com/legal-encyclopedia/missouri-security-deposits-36218.html" xr:uid="{BDD051DE-EE0B-8145-9E80-15611A9AA071}"/>
    <hyperlink ref="A30" r:id="rId16" display="https://www.nolo.com/legal-encyclopedia/nevada-security-deposits-36221.html" xr:uid="{7E4B3E97-9C7B-4544-9812-C5FB0B67352B}"/>
    <hyperlink ref="A32" r:id="rId17" display="https://www.nolo.com/legal-encyclopedia/new-jersey-security-deposits-36223.html" xr:uid="{59956BEC-AF1E-6041-86F1-612E737AC9EA}"/>
    <hyperlink ref="A34" r:id="rId18" display="https://www.nolo.com/legal-encyclopedia/new-york-security-deposits-36183.html" xr:uid="{78B3B071-F454-8F4F-ABC9-AD706BA74C43}"/>
    <hyperlink ref="A35" r:id="rId19" display="https://www.nolo.com/legal-encyclopedia/north-carolina-security-deposits-36225.html" xr:uid="{D3357C23-9CA6-9442-802E-41A4FEE4708A}"/>
    <hyperlink ref="A37" r:id="rId20" display="https://www.nolo.com/legal-encyclopedia/ohio-security-deposits-36226.html" xr:uid="{491AAFEF-CF3F-CE4B-AED1-BD51535F8EF9}"/>
    <hyperlink ref="A39" r:id="rId21" display="https://www.nolo.com/legal-encyclopedia/oregon-security-deposits-36228.html" xr:uid="{43D8340E-D40F-2547-A572-9D51409F9818}"/>
    <hyperlink ref="A40" r:id="rId22" display="https://www.nolo.com/legal-encyclopedia/pennsylvania-security-deposits-36229.html" xr:uid="{B816E61D-88F3-6747-934F-1ED9D538120F}"/>
    <hyperlink ref="A42" r:id="rId23" display="https://www.nolo.com/legal-encyclopedia/south-carolina-security-deposits-36231.html" xr:uid="{5A936F7B-A128-4545-B2C0-56273FD79923}"/>
    <hyperlink ref="A44" r:id="rId24" display="https://www.nolo.com/legal-encyclopedia/tennessee-security-deposits-36233.html" xr:uid="{4531B6AE-B157-F441-B4C4-CD4A9138C031}"/>
    <hyperlink ref="A45" r:id="rId25" display="https://www.nolo.com/legal-encyclopedia/texas-security-deposits-36234.html" xr:uid="{982221E8-0564-B54B-B53F-223EE8109497}"/>
    <hyperlink ref="A48" r:id="rId26" display="https://www.nolo.com/legal-encyclopedia/virginia-security-deposits-36236.html" xr:uid="{5C5585F4-8DD0-894A-A6D1-671BCBBC9FA7}"/>
    <hyperlink ref="A49" r:id="rId27" display="https://www.nolo.com/legal-encyclopedia/washington-security-deposits-36192.html" xr:uid="{65670222-A93B-2F46-913E-23593BA861E2}"/>
    <hyperlink ref="A51" r:id="rId28" display="https://www.nolo.com/legal-encyclopedia/wisconsin-security-deposits-36194.html" xr:uid="{A70AA4BF-4C4B-E546-AAB9-06ACFBA7A14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6A0EA-CAF4-5440-9CF3-D7825A79B277}">
  <dimension ref="A1:B60"/>
  <sheetViews>
    <sheetView tabSelected="1" workbookViewId="0">
      <selection activeCell="EX7" sqref="EX7"/>
    </sheetView>
  </sheetViews>
  <sheetFormatPr baseColWidth="10" defaultRowHeight="16" x14ac:dyDescent="0.2"/>
  <cols>
    <col min="1" max="1" width="12.33203125" customWidth="1"/>
    <col min="2" max="2" width="17.5" customWidth="1"/>
  </cols>
  <sheetData>
    <row r="1" spans="1:2" ht="32" x14ac:dyDescent="0.2">
      <c r="A1" s="4" t="s">
        <v>79</v>
      </c>
      <c r="B1" s="4" t="s">
        <v>88</v>
      </c>
    </row>
    <row r="2" spans="1:2" x14ac:dyDescent="0.2">
      <c r="A2" t="s">
        <v>2</v>
      </c>
      <c r="B2" t="str">
        <f>("7 days")</f>
        <v>7 days</v>
      </c>
    </row>
    <row r="3" spans="1:2" x14ac:dyDescent="0.2">
      <c r="A3" t="s">
        <v>4</v>
      </c>
      <c r="B3" t="str">
        <f>("7 days")</f>
        <v>7 days</v>
      </c>
    </row>
    <row r="4" spans="1:2" x14ac:dyDescent="0.2">
      <c r="A4" t="s">
        <v>80</v>
      </c>
      <c r="B4" t="str">
        <f>("7 days")</f>
        <v>7 days</v>
      </c>
    </row>
    <row r="5" spans="1:2" x14ac:dyDescent="0.2">
      <c r="A5" t="s">
        <v>6</v>
      </c>
      <c r="B5" t="str">
        <f>("5 days")</f>
        <v>5 days</v>
      </c>
    </row>
    <row r="6" spans="1:2" x14ac:dyDescent="0.2">
      <c r="A6" t="s">
        <v>8</v>
      </c>
      <c r="B6" t="str">
        <f>("3 days, 10 days")</f>
        <v>3 days, 10 days</v>
      </c>
    </row>
    <row r="7" spans="1:2" x14ac:dyDescent="0.2">
      <c r="A7" t="s">
        <v>10</v>
      </c>
      <c r="B7" t="str">
        <f>("3 days")</f>
        <v>3 days</v>
      </c>
    </row>
    <row r="8" spans="1:2" x14ac:dyDescent="0.2">
      <c r="A8" t="s">
        <v>12</v>
      </c>
      <c r="B8" t="str">
        <f>("10 days")</f>
        <v>10 days</v>
      </c>
    </row>
    <row r="9" spans="1:2" x14ac:dyDescent="0.2">
      <c r="A9" t="s">
        <v>14</v>
      </c>
      <c r="B9" t="str">
        <f>("3 days")</f>
        <v>3 days</v>
      </c>
    </row>
    <row r="10" spans="1:2" x14ac:dyDescent="0.2">
      <c r="A10" t="s">
        <v>16</v>
      </c>
      <c r="B10" t="str">
        <f>("5 days")</f>
        <v>5 days</v>
      </c>
    </row>
    <row r="11" spans="1:2" x14ac:dyDescent="0.2">
      <c r="A11" t="s">
        <v>18</v>
      </c>
      <c r="B11" t="str">
        <f>("30 days")</f>
        <v>30 days</v>
      </c>
    </row>
    <row r="12" spans="1:2" x14ac:dyDescent="0.2">
      <c r="A12" t="s">
        <v>81</v>
      </c>
    </row>
    <row r="13" spans="1:2" x14ac:dyDescent="0.2">
      <c r="A13" t="s">
        <v>20</v>
      </c>
      <c r="B13" t="str">
        <f>("3 days")</f>
        <v>3 days</v>
      </c>
    </row>
    <row r="14" spans="1:2" x14ac:dyDescent="0.2">
      <c r="A14" t="s">
        <v>21</v>
      </c>
      <c r="B14" t="str">
        <f>("Minimum amount of notice not specified")</f>
        <v>Minimum amount of notice not specified</v>
      </c>
    </row>
    <row r="15" spans="1:2" x14ac:dyDescent="0.2">
      <c r="A15" t="s">
        <v>82</v>
      </c>
      <c r="B15" t="str">
        <f>("30 days")</f>
        <v>30 days</v>
      </c>
    </row>
    <row r="16" spans="1:2" x14ac:dyDescent="0.2">
      <c r="A16" t="s">
        <v>22</v>
      </c>
      <c r="B16" t="str">
        <f>("5 days")</f>
        <v>5 days</v>
      </c>
    </row>
    <row r="17" spans="1:2" x14ac:dyDescent="0.2">
      <c r="A17" t="s">
        <v>24</v>
      </c>
      <c r="B17" t="str">
        <f>("3 days")</f>
        <v>3 days</v>
      </c>
    </row>
    <row r="18" spans="1:2" x14ac:dyDescent="0.2">
      <c r="A18" t="s">
        <v>25</v>
      </c>
      <c r="B18" t="str">
        <f>("5 days")</f>
        <v>5 days</v>
      </c>
    </row>
    <row r="19" spans="1:2" x14ac:dyDescent="0.2">
      <c r="A19" t="s">
        <v>26</v>
      </c>
      <c r="B19" t="str">
        <f>("10 days")</f>
        <v>10 days</v>
      </c>
    </row>
    <row r="20" spans="1:2" x14ac:dyDescent="0.2">
      <c r="A20" t="s">
        <v>27</v>
      </c>
      <c r="B20" t="str">
        <f>("3 days")</f>
        <v>3 days</v>
      </c>
    </row>
    <row r="21" spans="1:2" x14ac:dyDescent="0.2">
      <c r="A21" t="s">
        <v>29</v>
      </c>
      <c r="B21" t="str">
        <f>("3 days")</f>
        <v>3 days</v>
      </c>
    </row>
    <row r="22" spans="1:2" x14ac:dyDescent="0.2">
      <c r="A22" t="s">
        <v>31</v>
      </c>
      <c r="B22" t="str">
        <f>("7 days")</f>
        <v>7 days</v>
      </c>
    </row>
    <row r="23" spans="1:2" x14ac:dyDescent="0.2">
      <c r="A23" t="s">
        <v>32</v>
      </c>
      <c r="B23" t="str">
        <f>("5 days")</f>
        <v>5 days</v>
      </c>
    </row>
    <row r="24" spans="1:2" x14ac:dyDescent="0.2">
      <c r="A24" t="s">
        <v>33</v>
      </c>
      <c r="B24" t="str">
        <f>("7 days")</f>
        <v>7 days</v>
      </c>
    </row>
    <row r="25" spans="1:2" x14ac:dyDescent="0.2">
      <c r="A25" t="s">
        <v>83</v>
      </c>
    </row>
    <row r="26" spans="1:2" x14ac:dyDescent="0.2">
      <c r="A26" t="s">
        <v>34</v>
      </c>
      <c r="B26" t="str">
        <f>("Landlord not required to give notice if evicting for nonpayment")</f>
        <v>Landlord not required to give notice if evicting for nonpayment</v>
      </c>
    </row>
    <row r="27" spans="1:2" x14ac:dyDescent="0.2">
      <c r="A27" t="s">
        <v>35</v>
      </c>
      <c r="B27" t="str">
        <f>("14 days, 30 days")</f>
        <v>14 days, 30 days</v>
      </c>
    </row>
    <row r="28" spans="1:2" x14ac:dyDescent="0.2">
      <c r="A28" t="s">
        <v>36</v>
      </c>
      <c r="B28" t="str">
        <f>("7 days")</f>
        <v>7 days</v>
      </c>
    </row>
    <row r="29" spans="1:2" x14ac:dyDescent="0.2">
      <c r="A29" t="s">
        <v>37</v>
      </c>
      <c r="B29" t="str">
        <f>("Landlord not required to give notice if evicting for nonpayment")</f>
        <v>Landlord not required to give notice if evicting for nonpayment</v>
      </c>
    </row>
    <row r="30" spans="1:2" x14ac:dyDescent="0.2">
      <c r="A30" t="s">
        <v>39</v>
      </c>
      <c r="B30" t="str">
        <f>("3 days")</f>
        <v>3 days</v>
      </c>
    </row>
    <row r="31" spans="1:2" x14ac:dyDescent="0.2">
      <c r="A31" t="s">
        <v>40</v>
      </c>
      <c r="B31" t="str">
        <f>("10 days")</f>
        <v>10 days</v>
      </c>
    </row>
    <row r="32" spans="1:2" x14ac:dyDescent="0.2">
      <c r="A32" t="s">
        <v>41</v>
      </c>
      <c r="B32" t="str">
        <f>("3 days")</f>
        <v>3 days</v>
      </c>
    </row>
    <row r="33" spans="1:2" x14ac:dyDescent="0.2">
      <c r="A33" t="s">
        <v>42</v>
      </c>
      <c r="B33" t="str">
        <f>("7 days")</f>
        <v>7 days</v>
      </c>
    </row>
    <row r="34" spans="1:2" x14ac:dyDescent="0.2">
      <c r="A34" t="s">
        <v>44</v>
      </c>
      <c r="B34" t="str">
        <f>("7 days")</f>
        <v>7 days</v>
      </c>
    </row>
    <row r="35" spans="1:2" x14ac:dyDescent="0.2">
      <c r="A35" t="s">
        <v>46</v>
      </c>
      <c r="B35" t="str">
        <f>("7 days")</f>
        <v>7 days</v>
      </c>
    </row>
    <row r="36" spans="1:2" x14ac:dyDescent="0.2">
      <c r="A36" t="s">
        <v>48</v>
      </c>
      <c r="B36" t="str">
        <f>("Landlord not required to give notice if evicting for nonpayment")</f>
        <v>Landlord not required to give notice if evicting for nonpayment</v>
      </c>
    </row>
    <row r="37" spans="1:2" x14ac:dyDescent="0.2">
      <c r="A37" t="s">
        <v>50</v>
      </c>
      <c r="B37" t="str">
        <f>("3 days")</f>
        <v>3 days</v>
      </c>
    </row>
    <row r="38" spans="1:2" x14ac:dyDescent="0.2">
      <c r="A38" t="s">
        <v>52</v>
      </c>
      <c r="B38" t="str">
        <f>("14 days")</f>
        <v>14 days</v>
      </c>
    </row>
    <row r="39" spans="1:2" x14ac:dyDescent="0.2">
      <c r="A39" t="s">
        <v>54</v>
      </c>
      <c r="B39" t="str">
        <f>("10 days")</f>
        <v>10 days</v>
      </c>
    </row>
    <row r="40" spans="1:2" x14ac:dyDescent="0.2">
      <c r="A40" t="s">
        <v>56</v>
      </c>
      <c r="B40" t="str">
        <f>("3 days")</f>
        <v>3 days</v>
      </c>
    </row>
    <row r="41" spans="1:2" x14ac:dyDescent="0.2">
      <c r="A41" t="s">
        <v>84</v>
      </c>
      <c r="B41" t="str">
        <f>("3 days")</f>
        <v>3 days</v>
      </c>
    </row>
    <row r="42" spans="1:2" x14ac:dyDescent="0.2">
      <c r="A42" t="s">
        <v>58</v>
      </c>
      <c r="B42" t="str">
        <f>("3 days")</f>
        <v>3 days</v>
      </c>
    </row>
    <row r="43" spans="1:2" x14ac:dyDescent="0.2">
      <c r="A43" t="s">
        <v>59</v>
      </c>
      <c r="B43" t="str">
        <f>("5 days")</f>
        <v>5 days</v>
      </c>
    </row>
    <row r="44" spans="1:2" x14ac:dyDescent="0.2">
      <c r="A44" t="s">
        <v>60</v>
      </c>
      <c r="B44" t="str">
        <f>("10 days, 13 days")</f>
        <v>10 days, 13 days</v>
      </c>
    </row>
    <row r="45" spans="1:2" x14ac:dyDescent="0.2">
      <c r="A45" t="s">
        <v>85</v>
      </c>
    </row>
    <row r="46" spans="1:2" x14ac:dyDescent="0.2">
      <c r="A46" t="s">
        <v>62</v>
      </c>
      <c r="B46" t="str">
        <f>("10 days")</f>
        <v>10 days</v>
      </c>
    </row>
    <row r="47" spans="1:2" x14ac:dyDescent="0.2">
      <c r="A47" t="s">
        <v>86</v>
      </c>
    </row>
    <row r="48" spans="1:2" x14ac:dyDescent="0.2">
      <c r="A48" t="s">
        <v>64</v>
      </c>
      <c r="B48" t="str">
        <f>("5 days")</f>
        <v>5 days</v>
      </c>
    </row>
    <row r="49" spans="1:2" x14ac:dyDescent="0.2">
      <c r="A49" t="s">
        <v>65</v>
      </c>
      <c r="B49" t="str">
        <f>("5 days")</f>
        <v>5 days</v>
      </c>
    </row>
    <row r="50" spans="1:2" x14ac:dyDescent="0.2">
      <c r="A50" t="s">
        <v>66</v>
      </c>
      <c r="B50" t="str">
        <f>("3 days")</f>
        <v>3 days</v>
      </c>
    </row>
    <row r="51" spans="1:2" x14ac:dyDescent="0.2">
      <c r="A51" t="s">
        <v>68</v>
      </c>
      <c r="B51" t="str">
        <f>("14 days")</f>
        <v>14 days</v>
      </c>
    </row>
    <row r="52" spans="1:2" x14ac:dyDescent="0.2">
      <c r="A52" t="s">
        <v>69</v>
      </c>
      <c r="B52" t="str">
        <f>("3 days")</f>
        <v>3 days</v>
      </c>
    </row>
    <row r="53" spans="1:2" x14ac:dyDescent="0.2">
      <c r="A53" t="s">
        <v>87</v>
      </c>
      <c r="B53" t="str">
        <f>("30 days")</f>
        <v>30 days</v>
      </c>
    </row>
    <row r="54" spans="1:2" x14ac:dyDescent="0.2">
      <c r="A54" t="s">
        <v>70</v>
      </c>
      <c r="B54" t="str">
        <f>("3 days")</f>
        <v>3 days</v>
      </c>
    </row>
    <row r="55" spans="1:2" x14ac:dyDescent="0.2">
      <c r="A55" t="s">
        <v>71</v>
      </c>
      <c r="B55" t="str">
        <f>("14 days")</f>
        <v>14 days</v>
      </c>
    </row>
    <row r="56" spans="1:2" x14ac:dyDescent="0.2">
      <c r="A56" t="s">
        <v>72</v>
      </c>
      <c r="B56" t="str">
        <f>("14 days")</f>
        <v>14 days</v>
      </c>
    </row>
    <row r="57" spans="1:2" x14ac:dyDescent="0.2">
      <c r="A57" t="s">
        <v>74</v>
      </c>
      <c r="B57" t="str">
        <f>("14 days")</f>
        <v>14 days</v>
      </c>
    </row>
    <row r="58" spans="1:2" x14ac:dyDescent="0.2">
      <c r="A58" t="s">
        <v>76</v>
      </c>
      <c r="B58" t="str">
        <f>("Landlord not required to give notice if evicting for nonpayment")</f>
        <v>Landlord not required to give notice if evicting for nonpayment</v>
      </c>
    </row>
    <row r="59" spans="1:2" x14ac:dyDescent="0.2">
      <c r="A59" t="s">
        <v>77</v>
      </c>
      <c r="B59" t="str">
        <f>("5 days, 14 days, 30 days")</f>
        <v>5 days, 14 days, 30 days</v>
      </c>
    </row>
    <row r="60" spans="1:2" x14ac:dyDescent="0.2">
      <c r="A60" t="s">
        <v>78</v>
      </c>
      <c r="B60" t="str">
        <f>("3 days")</f>
        <v>3 days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security_deposit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 A Bianchi</dc:creator>
  <cp:lastModifiedBy>Grace A Bianchi</cp:lastModifiedBy>
  <dcterms:created xsi:type="dcterms:W3CDTF">2023-04-27T19:49:10Z</dcterms:created>
  <dcterms:modified xsi:type="dcterms:W3CDTF">2023-04-27T20:01:51Z</dcterms:modified>
</cp:coreProperties>
</file>