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gracebianchi/Desktop/ZNE_Capital_GP/data/intermediate/"/>
    </mc:Choice>
  </mc:AlternateContent>
  <xr:revisionPtr revIDLastSave="0" documentId="13_ncr:1_{63B9443C-9D75-FA47-BB02-FB91F36D68B2}" xr6:coauthVersionLast="47" xr6:coauthVersionMax="47" xr10:uidLastSave="{00000000-0000-0000-0000-000000000000}"/>
  <bookViews>
    <workbookView xWindow="4940" yWindow="500" windowWidth="23860" windowHeight="16060" activeTab="1" xr2:uid="{00000000-000D-0000-FFFF-FFFF00000000}"/>
  </bookViews>
  <sheets>
    <sheet name="reopt_msa_outputs" sheetId="3" r:id="rId1"/>
    <sheet name="Input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3" l="1"/>
</calcChain>
</file>

<file path=xl/sharedStrings.xml><?xml version="1.0" encoding="utf-8"?>
<sst xmlns="http://schemas.openxmlformats.org/spreadsheetml/2006/main" count="293" uniqueCount="158">
  <si>
    <t>cbsa</t>
  </si>
  <si>
    <t xml:space="preserve">City/MSA </t>
  </si>
  <si>
    <t>County</t>
  </si>
  <si>
    <t>STCOFIPS (5 digit)</t>
  </si>
  <si>
    <t>State</t>
  </si>
  <si>
    <t>Utility (REopt)</t>
  </si>
  <si>
    <t>Utility Link (Rate Details from REopt) [OpenEI Link]</t>
  </si>
  <si>
    <t>System Capacity (kW)</t>
  </si>
  <si>
    <t>Adjusted System Capacity (kW)</t>
  </si>
  <si>
    <t>State system capacity limit (kW)</t>
  </si>
  <si>
    <t>Min btw state and utility NEM (kW)</t>
  </si>
  <si>
    <t>System capacity *100 (for 100 apartments)</t>
  </si>
  <si>
    <t>Recommended Solar Installation size (kW)</t>
  </si>
  <si>
    <t>Avg Annual PV Energy Produciton (kWh)</t>
  </si>
  <si>
    <t>Annual Renewable Electricity (% of total)</t>
  </si>
  <si>
    <t>% Reduction in CO2 Emissions from BAU</t>
  </si>
  <si>
    <t>Lifecycle Costs of Climate Emissions ($) (difference from BAU)</t>
  </si>
  <si>
    <t>Lifecycle Costs of Health Emissions ($) (difference from BAU)</t>
  </si>
  <si>
    <t>Total Utility Electricity Cost ($)</t>
  </si>
  <si>
    <t>Total Life Cycle Costs ($)</t>
  </si>
  <si>
    <t>IRR</t>
  </si>
  <si>
    <t xml:space="preserve">Lifecycle Total          t CO2 </t>
  </si>
  <si>
    <t xml:space="preserve">Lifecycle Total t Nox </t>
  </si>
  <si>
    <t xml:space="preserve">Lifecycle Total t SO2 </t>
  </si>
  <si>
    <t xml:space="preserve">Lifecycle Total t PM2.5 </t>
  </si>
  <si>
    <t>Chattanooga</t>
  </si>
  <si>
    <t>Hamilton</t>
  </si>
  <si>
    <t>TN</t>
  </si>
  <si>
    <t>City of Chattanooga, Tennessee (Utility Company) - Residential</t>
  </si>
  <si>
    <t>https://apps.openei.org/IURDB/rate/view/5d1cc9715457a35864a745b5#1__Basic_Information</t>
  </si>
  <si>
    <t>0 kW</t>
  </si>
  <si>
    <t>Knoxville</t>
  </si>
  <si>
    <t>Knox</t>
  </si>
  <si>
    <t>Appalachian Electric Coop: Residential Rate</t>
  </si>
  <si>
    <t>https://apps.openei.org/IURDB/rate/view/539fc814ec4f024d2f53e29a</t>
  </si>
  <si>
    <t>10 kW</t>
  </si>
  <si>
    <t>Nashville</t>
  </si>
  <si>
    <t>Davidson</t>
  </si>
  <si>
    <t>Nashville Electric Service - RS Residential Service (Less than 500 kWh)</t>
  </si>
  <si>
    <t>https://apps.openei.org/IURDB/rate/view/5d66d5365457a3ee03c68cdd</t>
  </si>
  <si>
    <t>14 kW</t>
  </si>
  <si>
    <t>McAllen</t>
  </si>
  <si>
    <t>Hidalgo</t>
  </si>
  <si>
    <t>TX</t>
  </si>
  <si>
    <t>Sharyland Utilities LP: Residential LSP POLR(McAllen Service Area)</t>
  </si>
  <si>
    <t>https://apps.openei.org/IURDB/rate/view/54e4eb9e5357a35449d712c6</t>
  </si>
  <si>
    <t>4700 kW</t>
  </si>
  <si>
    <t>San Antonio</t>
  </si>
  <si>
    <t>Bexar</t>
  </si>
  <si>
    <t>City of San Antonio</t>
  </si>
  <si>
    <t>https://apps.openei.org/IURDB/rate/view/62be24ebb343c172c34ddab7</t>
  </si>
  <si>
    <t>1600 kW</t>
  </si>
  <si>
    <t>Huntsville</t>
  </si>
  <si>
    <t>Madison</t>
  </si>
  <si>
    <t>AL</t>
  </si>
  <si>
    <t>City of Huntsville Schedule RS - Residential</t>
  </si>
  <si>
    <t>https://apps.openei.org/IURDB/rate/view/637560c7da6b6c4dd6025d0f</t>
  </si>
  <si>
    <t>50 kW</t>
  </si>
  <si>
    <t>Colorado Springs</t>
  </si>
  <si>
    <t>El Paso</t>
  </si>
  <si>
    <t>CO</t>
  </si>
  <si>
    <t>City of Colorado Springs, Colorado (Utility Company): Residential Service Time of Day (ETR)</t>
  </si>
  <si>
    <t>https://apps.openei.org/IURDB/rate/view/5d260edf5457a31715dc1324</t>
  </si>
  <si>
    <t>Indianapolis</t>
  </si>
  <si>
    <t>Marion</t>
  </si>
  <si>
    <t>IN</t>
  </si>
  <si>
    <t>Indianapolis Power &amp; Light Co RS - Residential - over 325 KWH per month [AKA AES Indiana]</t>
  </si>
  <si>
    <t>https://apps.openei.org/IURDB/rate/view/5f4e57ce5457a3357aebd02a</t>
  </si>
  <si>
    <t>1,000 kW</t>
  </si>
  <si>
    <t>Myrtle Beach</t>
  </si>
  <si>
    <t>Horry</t>
  </si>
  <si>
    <t>SC</t>
  </si>
  <si>
    <t>South Carolina Public Service Authority</t>
  </si>
  <si>
    <t>https://apps.openei.org/IURDB/rate/view/5903b7285457a3c031cd3b42</t>
  </si>
  <si>
    <t>20 kW</t>
  </si>
  <si>
    <t>Spokane</t>
  </si>
  <si>
    <t>WA</t>
  </si>
  <si>
    <t>Avista Corp.: 1 Residential Service</t>
  </si>
  <si>
    <t>https://apps.openei.org/IURDB/rate/view/62bcdb3bc616b33be7779c85</t>
  </si>
  <si>
    <t>100 kW</t>
  </si>
  <si>
    <t>Portland</t>
  </si>
  <si>
    <t>Cumberland</t>
  </si>
  <si>
    <t>ME</t>
  </si>
  <si>
    <t>Central Maine Power Co A-TOU Residential Service Time-of-Use</t>
  </si>
  <si>
    <t>https://apps.openei.org/IURDB/rate/view/63052f7f09fe8305307477c4</t>
  </si>
  <si>
    <t>4999 kW</t>
  </si>
  <si>
    <t>Augusta</t>
  </si>
  <si>
    <t>Richmond</t>
  </si>
  <si>
    <t>GA</t>
  </si>
  <si>
    <t>Georgia Power Co Schedule TOU-REO-13 Time of Use Residential Energy Only</t>
  </si>
  <si>
    <t>https://apps.openei.org/IURDB/rate/view/62d70d02299fe74c2030b72f</t>
  </si>
  <si>
    <t>10kW</t>
  </si>
  <si>
    <t>Pensacola</t>
  </si>
  <si>
    <t>Escambia</t>
  </si>
  <si>
    <t>FL</t>
  </si>
  <si>
    <t>Gulf Power Co: Rate Schedule RSTOU Residential Service Time-Of- Use</t>
  </si>
  <si>
    <t>https://apps.openei.org/IURDB/rate/view/5da778565457a370136dbecf</t>
  </si>
  <si>
    <t>2000 kW</t>
  </si>
  <si>
    <t>Winston</t>
  </si>
  <si>
    <t>Forsyth</t>
  </si>
  <si>
    <t>NC</t>
  </si>
  <si>
    <t>Duke Energy Carolinas, LLC: RS (Residential Service)</t>
  </si>
  <si>
    <t>https://apps.openei.org/IURDB/rate/view/62d84625299fe74c2030b733</t>
  </si>
  <si>
    <t>Greenville</t>
  </si>
  <si>
    <t>Duke Energy Carolinas (South Carolina) Residential Time of Use RT</t>
  </si>
  <si>
    <t>https://apps.openei.org/IURDB/rate/view/6377ea9c1d17d872ea043220</t>
  </si>
  <si>
    <t>Port St. Lucie</t>
  </si>
  <si>
    <t>St. Lucie</t>
  </si>
  <si>
    <t>Florida power and light company: RTR-1 Residential TOU Rate (RS-1 w/ TOU Rider)</t>
  </si>
  <si>
    <t>https://apps.openei.org/IURDB/rate/view/62c44d84924e2352a30de5d6</t>
  </si>
  <si>
    <t>Charleston</t>
  </si>
  <si>
    <t>South Carolina Electric &amp; Gas Co: 5 (Residential Service Time of Use)</t>
  </si>
  <si>
    <t>https://apps.openei.org/IURDB/rate/view/62c614ae8e77102d816deb6a</t>
  </si>
  <si>
    <t>Palm Bay</t>
  </si>
  <si>
    <t xml:space="preserve">Brevard </t>
  </si>
  <si>
    <t>Florida power and light company</t>
  </si>
  <si>
    <t>https://apps.openei.org/IURDB/rate/view/62c44bb9c144060cdb0d6576</t>
  </si>
  <si>
    <t>Raleigh</t>
  </si>
  <si>
    <t>Wake</t>
  </si>
  <si>
    <t>Duke Energy Carolinas, LLC: RT (Residential Service)</t>
  </si>
  <si>
    <t>Columbia</t>
  </si>
  <si>
    <t>Richland</t>
  </si>
  <si>
    <t>South Carolina Electric&amp;Gas Co Residential Service Time-of-use</t>
  </si>
  <si>
    <t>Fayetteville</t>
  </si>
  <si>
    <t>Central Electric</t>
  </si>
  <si>
    <t>https://apps.openei.org/IURDB/rate/view/539f6eefec4f024411ecc80f</t>
  </si>
  <si>
    <t>Charlotte</t>
  </si>
  <si>
    <t>Mecklenburg</t>
  </si>
  <si>
    <t>Duke Energy Carolinas Residental Service</t>
  </si>
  <si>
    <t>Atlanta</t>
  </si>
  <si>
    <t>Fulton</t>
  </si>
  <si>
    <t>Georgia Power Co: SCHEDULE TOU-REO-12 TIME OF USE RESIDENTIAL ENERGY ONLY</t>
  </si>
  <si>
    <t>https://apps.openei.org/IURDB/rate/view/62d70d02299fe74c2030b72f#1__Basic_Information</t>
  </si>
  <si>
    <t>Sarasota</t>
  </si>
  <si>
    <t>Florida power and light company: Residential TOU</t>
  </si>
  <si>
    <t>VA</t>
  </si>
  <si>
    <t>Virginia Electric &amp; Power Co: 1S Residential Service (Demand Time-of-Use)</t>
  </si>
  <si>
    <t>https://apps.openei.org/IURDB/rate/view/630e6c780ffe985205520aa7</t>
  </si>
  <si>
    <t>1000 kW</t>
  </si>
  <si>
    <t>Lakeland</t>
  </si>
  <si>
    <t>Polk</t>
  </si>
  <si>
    <t>Tampa Electric Co: RS Residential Service</t>
  </si>
  <si>
    <t>https://apps.openei.org/IURDB/rate/view/6261c2e664deb4670613eed7</t>
  </si>
  <si>
    <t>100 kW?</t>
  </si>
  <si>
    <t>Washington</t>
  </si>
  <si>
    <t>AR</t>
  </si>
  <si>
    <t>Southwestern Electric Power Co (Arkansas) - Residential Service</t>
  </si>
  <si>
    <t>https://apps.openei.org/IURDB/rate/view/58daa4dc5457a3cf273d33cc</t>
  </si>
  <si>
    <t>Oklahoma City</t>
  </si>
  <si>
    <t>Oklahoma</t>
  </si>
  <si>
    <t>OK</t>
  </si>
  <si>
    <t>Oklahoma Gas &amp; Electric Co: Residential Service Time-Of_Use (R-TOU)</t>
  </si>
  <si>
    <t>https://apps.openei.org/IURDB/rate/view/6356c69e58c76fdf4b0e0ffe</t>
  </si>
  <si>
    <t>25 kW</t>
  </si>
  <si>
    <t>Des Moines</t>
  </si>
  <si>
    <t>IA</t>
  </si>
  <si>
    <t>MidAmerican Energy Co: RATE RST - Residential Time-of-Use Service</t>
  </si>
  <si>
    <t>https://apps.openei.org/IURDB/rate/view/6320b4743923e63054586c29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</si>
</sst>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1" fillId="2" borderId="0" xfId="1" applyFont="1" applyFill="1" applyAlignment="1">
      <alignment wrapText="1"/>
    </xf>
    <xf numFmtId="0" fontId="1" fillId="2" borderId="0" xfId="1" applyFont="1" applyFill="1"/>
    <xf numFmtId="0" fontId="2" fillId="2" borderId="0" xfId="1" applyFont="1" applyFill="1" applyAlignment="1">
      <alignment wrapText="1"/>
    </xf>
    <xf numFmtId="3" fontId="1" fillId="3" borderId="0" xfId="1" applyNumberFormat="1" applyFont="1" applyFill="1" applyAlignment="1">
      <alignment wrapText="1"/>
    </xf>
    <xf numFmtId="10" fontId="1" fillId="3" borderId="0" xfId="1" applyNumberFormat="1" applyFont="1" applyFill="1" applyAlignment="1">
      <alignment wrapText="1"/>
    </xf>
    <xf numFmtId="10" fontId="1" fillId="4" borderId="0" xfId="1" applyNumberFormat="1" applyFont="1" applyFill="1" applyAlignment="1">
      <alignment wrapText="1"/>
    </xf>
    <xf numFmtId="164" fontId="1" fillId="4" borderId="0" xfId="1" applyNumberFormat="1" applyFont="1" applyFill="1" applyAlignment="1">
      <alignment wrapText="1"/>
    </xf>
    <xf numFmtId="164" fontId="1" fillId="5" borderId="0" xfId="1" applyNumberFormat="1" applyFont="1" applyFill="1" applyAlignment="1">
      <alignment wrapText="1"/>
    </xf>
    <xf numFmtId="164" fontId="1" fillId="6" borderId="0" xfId="1" applyNumberFormat="1" applyFont="1" applyFill="1" applyAlignment="1">
      <alignment wrapText="1"/>
    </xf>
    <xf numFmtId="164" fontId="1" fillId="7" borderId="0" xfId="1" applyNumberFormat="1" applyFont="1" applyFill="1" applyAlignment="1">
      <alignment wrapText="1"/>
    </xf>
    <xf numFmtId="10" fontId="1" fillId="7" borderId="0" xfId="1" applyNumberFormat="1" applyFont="1" applyFill="1" applyAlignment="1">
      <alignment wrapText="1"/>
    </xf>
    <xf numFmtId="3" fontId="1" fillId="4" borderId="0" xfId="1" applyNumberFormat="1" applyFont="1" applyFill="1" applyAlignment="1">
      <alignment wrapText="1"/>
    </xf>
    <xf numFmtId="4" fontId="1" fillId="5" borderId="0" xfId="1" applyNumberFormat="1" applyFont="1" applyFill="1" applyAlignment="1">
      <alignment wrapText="1"/>
    </xf>
    <xf numFmtId="0" fontId="5" fillId="0" borderId="0" xfId="1"/>
    <xf numFmtId="0" fontId="1" fillId="8" borderId="0" xfId="1" applyFont="1" applyFill="1" applyAlignment="1">
      <alignment horizontal="right"/>
    </xf>
    <xf numFmtId="0" fontId="1" fillId="8" borderId="0" xfId="1" applyFont="1" applyFill="1"/>
    <xf numFmtId="0" fontId="3" fillId="8" borderId="0" xfId="1" applyFont="1" applyFill="1"/>
    <xf numFmtId="0" fontId="4" fillId="8" borderId="0" xfId="1" applyFont="1" applyFill="1"/>
    <xf numFmtId="0" fontId="1" fillId="8" borderId="0" xfId="1" applyFont="1" applyFill="1" applyAlignment="1">
      <alignment wrapText="1"/>
    </xf>
    <xf numFmtId="0" fontId="1" fillId="8" borderId="0" xfId="1" applyFont="1" applyFill="1" applyAlignment="1">
      <alignment horizontal="right" wrapText="1"/>
    </xf>
    <xf numFmtId="0" fontId="2" fillId="9" borderId="0" xfId="1" applyFont="1" applyFill="1" applyAlignment="1">
      <alignment horizontal="right" wrapText="1"/>
    </xf>
    <xf numFmtId="3" fontId="1" fillId="8" borderId="0" xfId="1" applyNumberFormat="1" applyFont="1" applyFill="1" applyAlignment="1">
      <alignment horizontal="right" wrapText="1"/>
    </xf>
    <xf numFmtId="10" fontId="1" fillId="8" borderId="0" xfId="1" applyNumberFormat="1" applyFont="1" applyFill="1" applyAlignment="1">
      <alignment horizontal="right" wrapText="1"/>
    </xf>
    <xf numFmtId="164" fontId="1" fillId="8" borderId="0" xfId="1" applyNumberFormat="1" applyFont="1" applyFill="1" applyAlignment="1">
      <alignment horizontal="right" wrapText="1"/>
    </xf>
    <xf numFmtId="4" fontId="1" fillId="8" borderId="0" xfId="1" applyNumberFormat="1" applyFont="1" applyFill="1" applyAlignment="1">
      <alignment horizontal="right" wrapText="1"/>
    </xf>
    <xf numFmtId="0" fontId="1" fillId="10" borderId="0" xfId="1" applyFont="1" applyFill="1" applyAlignment="1">
      <alignment horizontal="right"/>
    </xf>
    <xf numFmtId="0" fontId="1" fillId="10" borderId="0" xfId="1" applyFont="1" applyFill="1"/>
    <xf numFmtId="0" fontId="3" fillId="10" borderId="0" xfId="1" applyFont="1" applyFill="1"/>
    <xf numFmtId="0" fontId="4" fillId="10" borderId="0" xfId="1" applyFont="1" applyFill="1"/>
    <xf numFmtId="0" fontId="1" fillId="10" borderId="0" xfId="1" applyFont="1" applyFill="1" applyAlignment="1">
      <alignment wrapText="1"/>
    </xf>
    <xf numFmtId="0" fontId="1" fillId="10" borderId="0" xfId="1" applyFont="1" applyFill="1" applyAlignment="1">
      <alignment horizontal="right" wrapText="1"/>
    </xf>
    <xf numFmtId="3" fontId="1" fillId="10" borderId="0" xfId="1" applyNumberFormat="1" applyFont="1" applyFill="1" applyAlignment="1">
      <alignment horizontal="right" wrapText="1"/>
    </xf>
    <xf numFmtId="10" fontId="1" fillId="10" borderId="0" xfId="1" applyNumberFormat="1" applyFont="1" applyFill="1" applyAlignment="1">
      <alignment horizontal="right" wrapText="1"/>
    </xf>
    <xf numFmtId="164" fontId="1" fillId="10" borderId="0" xfId="1" applyNumberFormat="1" applyFont="1" applyFill="1" applyAlignment="1">
      <alignment horizontal="right" wrapText="1"/>
    </xf>
    <xf numFmtId="4" fontId="1" fillId="10" borderId="0" xfId="1" applyNumberFormat="1" applyFont="1" applyFill="1" applyAlignment="1">
      <alignment horizontal="right" wrapText="1"/>
    </xf>
    <xf numFmtId="0" fontId="2" fillId="8" borderId="0" xfId="1" applyFont="1" applyFill="1"/>
    <xf numFmtId="0" fontId="2" fillId="10" borderId="0" xfId="1" applyFont="1" applyFill="1"/>
    <xf numFmtId="0" fontId="1" fillId="11" borderId="0" xfId="1" applyFont="1" applyFill="1"/>
    <xf numFmtId="0" fontId="1" fillId="11" borderId="0" xfId="1" applyFont="1" applyFill="1" applyAlignment="1">
      <alignment horizontal="right"/>
    </xf>
    <xf numFmtId="3" fontId="1" fillId="10" borderId="0" xfId="1" applyNumberFormat="1" applyFont="1" applyFill="1" applyAlignment="1">
      <alignment horizontal="right"/>
    </xf>
    <xf numFmtId="10" fontId="1" fillId="10" borderId="0" xfId="1" applyNumberFormat="1" applyFont="1" applyFill="1" applyAlignment="1">
      <alignment horizontal="right"/>
    </xf>
    <xf numFmtId="164" fontId="1" fillId="10" borderId="0" xfId="1" applyNumberFormat="1" applyFont="1" applyFill="1" applyAlignment="1">
      <alignment horizontal="right"/>
    </xf>
    <xf numFmtId="4" fontId="1" fillId="10" borderId="0" xfId="1" applyNumberFormat="1" applyFont="1" applyFill="1" applyAlignment="1">
      <alignment horizontal="right"/>
    </xf>
    <xf numFmtId="0" fontId="2" fillId="10" borderId="0" xfId="1" applyFont="1" applyFill="1" applyAlignment="1">
      <alignment horizontal="right" wrapText="1"/>
    </xf>
    <xf numFmtId="0" fontId="2" fillId="12" borderId="0" xfId="1" applyFont="1" applyFill="1"/>
    <xf numFmtId="3" fontId="1" fillId="8" borderId="0" xfId="1" applyNumberFormat="1" applyFont="1" applyFill="1" applyAlignment="1">
      <alignment horizontal="right"/>
    </xf>
    <xf numFmtId="10" fontId="1" fillId="8" borderId="0" xfId="1" applyNumberFormat="1" applyFont="1" applyFill="1" applyAlignment="1">
      <alignment horizontal="right"/>
    </xf>
    <xf numFmtId="164" fontId="1" fillId="8" borderId="0" xfId="1" applyNumberFormat="1" applyFont="1" applyFill="1" applyAlignment="1">
      <alignment horizontal="right"/>
    </xf>
    <xf numFmtId="4" fontId="1" fillId="8" borderId="0" xfId="1" applyNumberFormat="1" applyFont="1" applyFill="1" applyAlignment="1">
      <alignment horizontal="right"/>
    </xf>
    <xf numFmtId="0" fontId="2" fillId="8" borderId="0" xfId="1" applyFont="1" applyFill="1" applyAlignment="1">
      <alignment horizontal="right" wrapText="1"/>
    </xf>
    <xf numFmtId="0" fontId="2" fillId="8" borderId="1" xfId="1" applyFont="1" applyFill="1" applyBorder="1" applyAlignment="1">
      <alignment horizontal="right" wrapText="1"/>
    </xf>
    <xf numFmtId="1" fontId="1" fillId="8" borderId="0" xfId="1" applyNumberFormat="1" applyFont="1" applyFill="1" applyAlignment="1">
      <alignment horizontal="right" wrapText="1"/>
    </xf>
    <xf numFmtId="0" fontId="1" fillId="8" borderId="1" xfId="1" applyFont="1" applyFill="1" applyBorder="1" applyAlignment="1">
      <alignment horizontal="right"/>
    </xf>
    <xf numFmtId="0" fontId="1" fillId="8" borderId="1" xfId="1" applyFont="1" applyFill="1" applyBorder="1"/>
    <xf numFmtId="0" fontId="3" fillId="8" borderId="1" xfId="1" applyFont="1" applyFill="1" applyBorder="1"/>
    <xf numFmtId="0" fontId="4" fillId="8" borderId="1" xfId="1" applyFont="1" applyFill="1" applyBorder="1"/>
    <xf numFmtId="0" fontId="1" fillId="8" borderId="1" xfId="1" applyFont="1" applyFill="1" applyBorder="1" applyAlignment="1">
      <alignment wrapText="1"/>
    </xf>
    <xf numFmtId="0" fontId="1" fillId="8" borderId="1" xfId="1" applyFont="1" applyFill="1" applyBorder="1" applyAlignment="1">
      <alignment horizontal="right" wrapText="1"/>
    </xf>
    <xf numFmtId="3" fontId="1" fillId="8" borderId="1" xfId="1" applyNumberFormat="1" applyFont="1" applyFill="1" applyBorder="1" applyAlignment="1">
      <alignment horizontal="right" wrapText="1"/>
    </xf>
    <xf numFmtId="10" fontId="1" fillId="8" borderId="1" xfId="1" applyNumberFormat="1" applyFont="1" applyFill="1" applyBorder="1" applyAlignment="1">
      <alignment horizontal="right" wrapText="1"/>
    </xf>
    <xf numFmtId="164" fontId="1" fillId="8" borderId="1" xfId="1" applyNumberFormat="1" applyFont="1" applyFill="1" applyBorder="1" applyAlignment="1">
      <alignment horizontal="right" wrapText="1"/>
    </xf>
    <xf numFmtId="4" fontId="1" fillId="8" borderId="1" xfId="1" applyNumberFormat="1" applyFont="1" applyFill="1" applyBorder="1" applyAlignment="1">
      <alignment horizontal="right" wrapText="1"/>
    </xf>
    <xf numFmtId="0" fontId="2" fillId="10" borderId="0" xfId="1" applyFont="1" applyFill="1" applyAlignment="1">
      <alignment wrapText="1"/>
    </xf>
    <xf numFmtId="10" fontId="1" fillId="11" borderId="0" xfId="1" applyNumberFormat="1" applyFont="1" applyFill="1"/>
    <xf numFmtId="164" fontId="1" fillId="11" borderId="0" xfId="1" applyNumberFormat="1" applyFont="1" applyFill="1"/>
    <xf numFmtId="4" fontId="1" fillId="11" borderId="0" xfId="1" applyNumberFormat="1" applyFont="1" applyFill="1"/>
  </cellXfs>
  <cellStyles count="2">
    <cellStyle name="Normal" xfId="0" builtinId="0"/>
    <cellStyle name="Normal 2" xfId="1" xr:uid="{F0B030E7-6A3C-0042-A96B-897FA3D1B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openei.org/IURDB/rate/view/5f4e57ce5457a3357aebd02a" TargetMode="External"/><Relationship Id="rId13" Type="http://schemas.openxmlformats.org/officeDocument/2006/relationships/hyperlink" Target="https://apps.openei.org/IURDB/rate/view/5da778565457a370136dbecf" TargetMode="External"/><Relationship Id="rId18" Type="http://schemas.openxmlformats.org/officeDocument/2006/relationships/hyperlink" Target="https://apps.openei.org/IURDB/rate/view/62c44bb9c144060cdb0d6576" TargetMode="External"/><Relationship Id="rId26" Type="http://schemas.openxmlformats.org/officeDocument/2006/relationships/hyperlink" Target="https://apps.openei.org/IURDB/rate/view/6261c2e664deb4670613eed7" TargetMode="External"/><Relationship Id="rId3" Type="http://schemas.openxmlformats.org/officeDocument/2006/relationships/hyperlink" Target="https://apps.openei.org/IURDB/rate/view/5d66d5365457a3ee03c68cdd" TargetMode="External"/><Relationship Id="rId21" Type="http://schemas.openxmlformats.org/officeDocument/2006/relationships/hyperlink" Target="https://apps.openei.org/IURDB/rate/view/539f6eefec4f024411ecc80f" TargetMode="External"/><Relationship Id="rId7" Type="http://schemas.openxmlformats.org/officeDocument/2006/relationships/hyperlink" Target="https://apps.openei.org/IURDB/rate/view/5d260edf5457a31715dc1324" TargetMode="External"/><Relationship Id="rId12" Type="http://schemas.openxmlformats.org/officeDocument/2006/relationships/hyperlink" Target="https://apps.openei.org/IURDB/rate/view/62d70d02299fe74c2030b72f" TargetMode="External"/><Relationship Id="rId17" Type="http://schemas.openxmlformats.org/officeDocument/2006/relationships/hyperlink" Target="https://apps.openei.org/IURDB/rate/view/62c614ae8e77102d816deb6a" TargetMode="External"/><Relationship Id="rId25" Type="http://schemas.openxmlformats.org/officeDocument/2006/relationships/hyperlink" Target="https://apps.openei.org/IURDB/rate/view/630e6c780ffe985205520aa7" TargetMode="External"/><Relationship Id="rId2" Type="http://schemas.openxmlformats.org/officeDocument/2006/relationships/hyperlink" Target="https://apps.openei.org/IURDB/rate/view/539fc814ec4f024d2f53e29a" TargetMode="External"/><Relationship Id="rId16" Type="http://schemas.openxmlformats.org/officeDocument/2006/relationships/hyperlink" Target="https://apps.openei.org/IURDB/rate/view/62c44d84924e2352a30de5d6" TargetMode="External"/><Relationship Id="rId20" Type="http://schemas.openxmlformats.org/officeDocument/2006/relationships/hyperlink" Target="https://apps.openei.org/IURDB/rate/view/62c614ae8e77102d816deb6a" TargetMode="External"/><Relationship Id="rId29" Type="http://schemas.openxmlformats.org/officeDocument/2006/relationships/hyperlink" Target="https://apps.openei.org/IURDB/rate/view/6320b4743923e63054586c29" TargetMode="External"/><Relationship Id="rId1" Type="http://schemas.openxmlformats.org/officeDocument/2006/relationships/hyperlink" Target="https://apps.openei.org/IURDB/rate/view/5d1cc9715457a35864a745b5" TargetMode="External"/><Relationship Id="rId6" Type="http://schemas.openxmlformats.org/officeDocument/2006/relationships/hyperlink" Target="https://apps.openei.org/IURDB/rate/view/637560c7da6b6c4dd6025d0f" TargetMode="External"/><Relationship Id="rId11" Type="http://schemas.openxmlformats.org/officeDocument/2006/relationships/hyperlink" Target="https://apps.openei.org/IURDB/rate/view/63052f7f09fe8305307477c4" TargetMode="External"/><Relationship Id="rId24" Type="http://schemas.openxmlformats.org/officeDocument/2006/relationships/hyperlink" Target="https://apps.openei.org/IURDB/rate/view/62c44d84924e2352a30de5d6" TargetMode="External"/><Relationship Id="rId5" Type="http://schemas.openxmlformats.org/officeDocument/2006/relationships/hyperlink" Target="https://apps.openei.org/IURDB/rate/view/62be24ebb343c172c34ddab7" TargetMode="External"/><Relationship Id="rId15" Type="http://schemas.openxmlformats.org/officeDocument/2006/relationships/hyperlink" Target="https://apps.openei.org/IURDB/rate/view/6377ea9c1d17d872ea043220" TargetMode="External"/><Relationship Id="rId23" Type="http://schemas.openxmlformats.org/officeDocument/2006/relationships/hyperlink" Target="https://apps.openei.org/IURDB/rate/view/62d70d02299fe74c2030b72f" TargetMode="External"/><Relationship Id="rId28" Type="http://schemas.openxmlformats.org/officeDocument/2006/relationships/hyperlink" Target="https://apps.openei.org/IURDB/rate/view/6356c69e58c76fdf4b0e0ffe" TargetMode="External"/><Relationship Id="rId10" Type="http://schemas.openxmlformats.org/officeDocument/2006/relationships/hyperlink" Target="https://apps.openei.org/IURDB/rate/view/62bcdb3bc616b33be7779c85" TargetMode="External"/><Relationship Id="rId19" Type="http://schemas.openxmlformats.org/officeDocument/2006/relationships/hyperlink" Target="https://apps.openei.org/IURDB/rate/view/62d84625299fe74c2030b733" TargetMode="External"/><Relationship Id="rId4" Type="http://schemas.openxmlformats.org/officeDocument/2006/relationships/hyperlink" Target="https://apps.openei.org/IURDB/rate/view/54e4eb9e5357a35449d712c6" TargetMode="External"/><Relationship Id="rId9" Type="http://schemas.openxmlformats.org/officeDocument/2006/relationships/hyperlink" Target="https://apps.openei.org/IURDB/rate/view/5903b7285457a3c031cd3b42" TargetMode="External"/><Relationship Id="rId14" Type="http://schemas.openxmlformats.org/officeDocument/2006/relationships/hyperlink" Target="https://apps.openei.org/IURDB/rate/view/62d84625299fe74c2030b733" TargetMode="External"/><Relationship Id="rId22" Type="http://schemas.openxmlformats.org/officeDocument/2006/relationships/hyperlink" Target="https://apps.openei.org/IURDB/rate/view/62d84625299fe74c2030b733" TargetMode="External"/><Relationship Id="rId27" Type="http://schemas.openxmlformats.org/officeDocument/2006/relationships/hyperlink" Target="https://apps.openei.org/IURDB/rate/view/58daa4dc5457a3cf273d33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F763-B790-EA4D-AE0C-545834D46B41}">
  <sheetPr>
    <outlinePr summaryBelow="0" summaryRight="0"/>
  </sheetPr>
  <dimension ref="A1:Y31"/>
  <sheetViews>
    <sheetView workbookViewId="0">
      <selection sqref="A1:Y30"/>
    </sheetView>
  </sheetViews>
  <sheetFormatPr baseColWidth="10" defaultColWidth="12.6640625" defaultRowHeight="15.75" customHeight="1" x14ac:dyDescent="0.15"/>
  <cols>
    <col min="1" max="16384" width="12.6640625" style="14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1" t="s">
        <v>20</v>
      </c>
      <c r="V1" s="12" t="s">
        <v>21</v>
      </c>
      <c r="W1" s="13" t="s">
        <v>22</v>
      </c>
      <c r="X1" s="13" t="s">
        <v>23</v>
      </c>
      <c r="Y1" s="13" t="s">
        <v>24</v>
      </c>
    </row>
    <row r="2" spans="1:25" ht="15.75" customHeight="1" x14ac:dyDescent="0.15">
      <c r="A2" s="15">
        <v>16860</v>
      </c>
      <c r="B2" s="16" t="s">
        <v>25</v>
      </c>
      <c r="C2" s="16" t="s">
        <v>26</v>
      </c>
      <c r="D2" s="15">
        <v>47065</v>
      </c>
      <c r="E2" s="16" t="s">
        <v>27</v>
      </c>
      <c r="F2" s="17" t="s">
        <v>28</v>
      </c>
      <c r="G2" s="18" t="s">
        <v>29</v>
      </c>
      <c r="H2" s="19" t="s">
        <v>30</v>
      </c>
      <c r="I2" s="20">
        <v>0</v>
      </c>
      <c r="J2" s="20">
        <v>0</v>
      </c>
      <c r="K2" s="20">
        <v>0</v>
      </c>
      <c r="L2" s="21">
        <v>0</v>
      </c>
      <c r="M2" s="22">
        <v>46.018000000000001</v>
      </c>
      <c r="N2" s="22">
        <v>63032</v>
      </c>
      <c r="O2" s="23">
        <v>0.21135399999999999</v>
      </c>
      <c r="P2" s="23">
        <v>0.210145</v>
      </c>
      <c r="Q2" s="24">
        <v>-130552.43</v>
      </c>
      <c r="R2" s="24">
        <v>-17816.490000000002</v>
      </c>
      <c r="S2" s="24">
        <v>-94730</v>
      </c>
      <c r="T2" s="24">
        <v>421260</v>
      </c>
      <c r="U2" s="23">
        <v>0.1013</v>
      </c>
      <c r="V2" s="22">
        <v>-830.8</v>
      </c>
      <c r="W2" s="25">
        <v>-0.53</v>
      </c>
      <c r="X2" s="25">
        <v>-0.44</v>
      </c>
      <c r="Y2" s="25">
        <v>-0.04</v>
      </c>
    </row>
    <row r="3" spans="1:25" ht="15.75" customHeight="1" x14ac:dyDescent="0.15">
      <c r="A3" s="26">
        <v>28940</v>
      </c>
      <c r="B3" s="27" t="s">
        <v>31</v>
      </c>
      <c r="C3" s="27" t="s">
        <v>32</v>
      </c>
      <c r="D3" s="26">
        <v>47093</v>
      </c>
      <c r="E3" s="27" t="s">
        <v>27</v>
      </c>
      <c r="F3" s="28" t="s">
        <v>33</v>
      </c>
      <c r="G3" s="29" t="s">
        <v>34</v>
      </c>
      <c r="H3" s="30" t="s">
        <v>35</v>
      </c>
      <c r="I3" s="31">
        <v>10</v>
      </c>
      <c r="J3" s="31">
        <v>0</v>
      </c>
      <c r="K3" s="31">
        <v>0</v>
      </c>
      <c r="L3" s="21">
        <v>0</v>
      </c>
      <c r="M3" s="32">
        <v>44.290399999999998</v>
      </c>
      <c r="N3" s="32">
        <v>61220</v>
      </c>
      <c r="O3" s="33">
        <v>0.208811</v>
      </c>
      <c r="P3" s="33">
        <v>0.206737</v>
      </c>
      <c r="Q3" s="34">
        <v>-128435.43</v>
      </c>
      <c r="R3" s="34">
        <v>-18002.740000000002</v>
      </c>
      <c r="S3" s="34">
        <v>-88246</v>
      </c>
      <c r="T3" s="34">
        <v>401619</v>
      </c>
      <c r="U3" s="33">
        <v>9.7000000000000003E-2</v>
      </c>
      <c r="V3" s="32">
        <v>-817.32</v>
      </c>
      <c r="W3" s="35">
        <v>-0.52</v>
      </c>
      <c r="X3" s="35">
        <v>-0.43</v>
      </c>
      <c r="Y3" s="35">
        <v>-0.04</v>
      </c>
    </row>
    <row r="4" spans="1:25" ht="15.75" customHeight="1" x14ac:dyDescent="0.15">
      <c r="A4" s="26">
        <v>34980</v>
      </c>
      <c r="B4" s="27" t="s">
        <v>36</v>
      </c>
      <c r="C4" s="27" t="s">
        <v>37</v>
      </c>
      <c r="D4" s="26">
        <v>47037</v>
      </c>
      <c r="E4" s="27" t="s">
        <v>27</v>
      </c>
      <c r="F4" s="28" t="s">
        <v>38</v>
      </c>
      <c r="G4" s="29" t="s">
        <v>39</v>
      </c>
      <c r="H4" s="27" t="s">
        <v>40</v>
      </c>
      <c r="I4" s="31">
        <v>14</v>
      </c>
      <c r="J4" s="31">
        <v>0</v>
      </c>
      <c r="K4" s="31">
        <v>0</v>
      </c>
      <c r="L4" s="21">
        <v>0</v>
      </c>
      <c r="M4" s="32">
        <v>43.435400000000001</v>
      </c>
      <c r="N4" s="32">
        <v>58817</v>
      </c>
      <c r="O4" s="33">
        <v>0.201103</v>
      </c>
      <c r="P4" s="33">
        <v>0.19999400000000001</v>
      </c>
      <c r="Q4" s="34">
        <v>-124245.8</v>
      </c>
      <c r="R4" s="34">
        <v>-19827.48</v>
      </c>
      <c r="S4" s="34">
        <v>-86142</v>
      </c>
      <c r="T4" s="34">
        <v>407037</v>
      </c>
      <c r="U4" s="33">
        <v>9.64E-2</v>
      </c>
      <c r="V4" s="32">
        <v>-790.66</v>
      </c>
      <c r="W4" s="35">
        <v>-0.51</v>
      </c>
      <c r="X4" s="35">
        <v>-0.42</v>
      </c>
      <c r="Y4" s="35">
        <v>-0.04</v>
      </c>
    </row>
    <row r="5" spans="1:25" ht="15.75" customHeight="1" x14ac:dyDescent="0.15">
      <c r="A5" s="26">
        <v>32580</v>
      </c>
      <c r="B5" s="27" t="s">
        <v>41</v>
      </c>
      <c r="C5" s="27" t="s">
        <v>42</v>
      </c>
      <c r="D5" s="26">
        <v>48215</v>
      </c>
      <c r="E5" s="27" t="s">
        <v>43</v>
      </c>
      <c r="F5" s="28" t="s">
        <v>44</v>
      </c>
      <c r="G5" s="29" t="s">
        <v>45</v>
      </c>
      <c r="H5" s="30" t="s">
        <v>46</v>
      </c>
      <c r="I5" s="31">
        <v>4700</v>
      </c>
      <c r="J5" s="31">
        <v>0</v>
      </c>
      <c r="K5" s="31">
        <v>0</v>
      </c>
      <c r="L5" s="21">
        <v>0</v>
      </c>
      <c r="M5" s="32">
        <v>94.056799999999996</v>
      </c>
      <c r="N5" s="32">
        <v>148354</v>
      </c>
      <c r="O5" s="33">
        <v>0.343028</v>
      </c>
      <c r="P5" s="33">
        <v>0.34232400000000002</v>
      </c>
      <c r="Q5" s="34">
        <v>-232905.65</v>
      </c>
      <c r="R5" s="34">
        <v>-20141.04</v>
      </c>
      <c r="S5" s="34">
        <v>-248933</v>
      </c>
      <c r="T5" s="34">
        <v>613172</v>
      </c>
      <c r="U5" s="33">
        <v>0.1376</v>
      </c>
      <c r="V5" s="32">
        <v>-1482.15</v>
      </c>
      <c r="W5" s="35">
        <v>-0.9</v>
      </c>
      <c r="X5" s="35">
        <v>-0.81</v>
      </c>
      <c r="Y5" s="35">
        <v>-7.0000000000000007E-2</v>
      </c>
    </row>
    <row r="6" spans="1:25" ht="15.75" customHeight="1" x14ac:dyDescent="0.15">
      <c r="A6" s="15">
        <v>41700</v>
      </c>
      <c r="B6" s="16" t="s">
        <v>47</v>
      </c>
      <c r="C6" s="16" t="s">
        <v>48</v>
      </c>
      <c r="D6" s="15">
        <v>48029</v>
      </c>
      <c r="E6" s="16" t="s">
        <v>43</v>
      </c>
      <c r="F6" s="36" t="s">
        <v>49</v>
      </c>
      <c r="G6" s="18" t="s">
        <v>50</v>
      </c>
      <c r="H6" s="19" t="s">
        <v>51</v>
      </c>
      <c r="I6" s="20">
        <v>1600</v>
      </c>
      <c r="J6" s="20">
        <v>0</v>
      </c>
      <c r="K6" s="20">
        <v>0</v>
      </c>
      <c r="L6" s="21">
        <v>0</v>
      </c>
      <c r="M6" s="22">
        <v>67.148200000000003</v>
      </c>
      <c r="N6" s="22">
        <v>102142</v>
      </c>
      <c r="O6" s="23">
        <v>0.26642199999999999</v>
      </c>
      <c r="P6" s="23">
        <v>0.26614900000000002</v>
      </c>
      <c r="Q6" s="24">
        <v>-181078.97</v>
      </c>
      <c r="R6" s="24">
        <v>-20530.57</v>
      </c>
      <c r="S6" s="24">
        <v>-144867</v>
      </c>
      <c r="T6" s="24">
        <v>498602</v>
      </c>
      <c r="U6" s="23">
        <v>0.1077</v>
      </c>
      <c r="V6" s="22">
        <v>-1152.3399999999999</v>
      </c>
      <c r="W6" s="25">
        <v>-0.69</v>
      </c>
      <c r="X6" s="25">
        <v>-0.64</v>
      </c>
      <c r="Y6" s="25">
        <v>-0.05</v>
      </c>
    </row>
    <row r="7" spans="1:25" ht="15.75" customHeight="1" x14ac:dyDescent="0.15">
      <c r="A7" s="26">
        <v>26620</v>
      </c>
      <c r="B7" s="37" t="s">
        <v>52</v>
      </c>
      <c r="C7" s="38" t="s">
        <v>53</v>
      </c>
      <c r="D7" s="39">
        <v>1089</v>
      </c>
      <c r="E7" s="27" t="s">
        <v>54</v>
      </c>
      <c r="F7" s="28" t="s">
        <v>55</v>
      </c>
      <c r="G7" s="29" t="s">
        <v>56</v>
      </c>
      <c r="H7" s="30" t="s">
        <v>57</v>
      </c>
      <c r="I7" s="31">
        <v>50</v>
      </c>
      <c r="J7" s="31">
        <v>0</v>
      </c>
      <c r="K7" s="31">
        <v>0</v>
      </c>
      <c r="L7" s="21">
        <v>0</v>
      </c>
      <c r="M7" s="40">
        <v>55.343899999999998</v>
      </c>
      <c r="N7" s="40">
        <v>76899</v>
      </c>
      <c r="O7" s="41">
        <v>0.23657500000000001</v>
      </c>
      <c r="P7" s="41">
        <v>0.235822</v>
      </c>
      <c r="Q7" s="42">
        <v>-152562</v>
      </c>
      <c r="R7" s="42">
        <v>-21837.52</v>
      </c>
      <c r="S7" s="42">
        <v>-121095</v>
      </c>
      <c r="T7" s="42">
        <v>470582</v>
      </c>
      <c r="U7" s="41">
        <v>0.10970000000000001</v>
      </c>
      <c r="V7" s="40">
        <v>-970.86</v>
      </c>
      <c r="W7" s="43">
        <v>-0.63</v>
      </c>
      <c r="X7" s="43">
        <v>-0.51</v>
      </c>
      <c r="Y7" s="43">
        <v>-0.05</v>
      </c>
    </row>
    <row r="8" spans="1:25" ht="15.75" customHeight="1" x14ac:dyDescent="0.15">
      <c r="A8" s="26">
        <v>17820</v>
      </c>
      <c r="B8" s="27" t="s">
        <v>58</v>
      </c>
      <c r="C8" s="27" t="s">
        <v>59</v>
      </c>
      <c r="D8" s="26">
        <v>48141</v>
      </c>
      <c r="E8" s="27" t="s">
        <v>60</v>
      </c>
      <c r="F8" s="28" t="s">
        <v>61</v>
      </c>
      <c r="G8" s="29" t="s">
        <v>62</v>
      </c>
      <c r="H8" s="35">
        <v>15</v>
      </c>
      <c r="I8" s="35">
        <v>15</v>
      </c>
      <c r="J8" s="31">
        <v>10</v>
      </c>
      <c r="K8" s="35">
        <v>10</v>
      </c>
      <c r="L8" s="44">
        <v>1000</v>
      </c>
      <c r="M8" s="32">
        <v>163.26400000000001</v>
      </c>
      <c r="N8" s="32">
        <v>255589</v>
      </c>
      <c r="O8" s="33">
        <v>1</v>
      </c>
      <c r="P8" s="33">
        <v>1.0022880000000001</v>
      </c>
      <c r="Q8" s="34">
        <v>-676080.04</v>
      </c>
      <c r="R8" s="34">
        <v>-23097.87</v>
      </c>
      <c r="S8" s="34">
        <v>-336471</v>
      </c>
      <c r="T8" s="34">
        <v>335389</v>
      </c>
      <c r="U8" s="33">
        <v>0.10150000000000001</v>
      </c>
      <c r="V8" s="32">
        <v>-4302.38</v>
      </c>
      <c r="W8" s="35">
        <v>-2.68</v>
      </c>
      <c r="X8" s="35">
        <v>-1.26</v>
      </c>
      <c r="Y8" s="35">
        <v>-0.09</v>
      </c>
    </row>
    <row r="9" spans="1:25" ht="15.75" customHeight="1" x14ac:dyDescent="0.15">
      <c r="A9" s="15">
        <v>26900</v>
      </c>
      <c r="B9" s="45" t="s">
        <v>63</v>
      </c>
      <c r="C9" s="16" t="s">
        <v>64</v>
      </c>
      <c r="D9" s="39">
        <v>18097</v>
      </c>
      <c r="E9" s="16" t="s">
        <v>65</v>
      </c>
      <c r="F9" s="17" t="s">
        <v>66</v>
      </c>
      <c r="G9" s="18" t="s">
        <v>67</v>
      </c>
      <c r="H9" s="19" t="s">
        <v>68</v>
      </c>
      <c r="I9" s="20">
        <v>1000</v>
      </c>
      <c r="J9" s="20">
        <v>0</v>
      </c>
      <c r="K9" s="20">
        <v>0</v>
      </c>
      <c r="L9" s="21">
        <v>0</v>
      </c>
      <c r="M9" s="46">
        <v>41.204000000000001</v>
      </c>
      <c r="N9" s="46">
        <v>54628</v>
      </c>
      <c r="O9" s="47">
        <v>0.19570699999999999</v>
      </c>
      <c r="P9" s="47">
        <v>0.19654099999999999</v>
      </c>
      <c r="Q9" s="48">
        <v>-132926.73000000001</v>
      </c>
      <c r="R9" s="48">
        <v>-41014.32</v>
      </c>
      <c r="S9" s="48">
        <v>-76140</v>
      </c>
      <c r="T9" s="48">
        <v>376799</v>
      </c>
      <c r="U9" s="47">
        <v>8.72E-2</v>
      </c>
      <c r="V9" s="46">
        <v>-845.91</v>
      </c>
      <c r="W9" s="49">
        <v>-0.52</v>
      </c>
      <c r="X9" s="49">
        <v>-0.66</v>
      </c>
      <c r="Y9" s="49">
        <v>-0.09</v>
      </c>
    </row>
    <row r="10" spans="1:25" ht="15.75" customHeight="1" x14ac:dyDescent="0.15">
      <c r="A10" s="15">
        <v>34820</v>
      </c>
      <c r="B10" s="16" t="s">
        <v>69</v>
      </c>
      <c r="C10" s="16" t="s">
        <v>70</v>
      </c>
      <c r="D10" s="15">
        <v>45051</v>
      </c>
      <c r="E10" s="16" t="s">
        <v>71</v>
      </c>
      <c r="F10" s="17" t="s">
        <v>72</v>
      </c>
      <c r="G10" s="18" t="s">
        <v>73</v>
      </c>
      <c r="H10" s="19" t="s">
        <v>74</v>
      </c>
      <c r="I10" s="20">
        <v>20</v>
      </c>
      <c r="J10" s="20">
        <v>20</v>
      </c>
      <c r="K10" s="20">
        <v>20</v>
      </c>
      <c r="L10" s="50">
        <v>2000</v>
      </c>
      <c r="M10" s="22">
        <v>190.92179999999999</v>
      </c>
      <c r="N10" s="22">
        <v>285600</v>
      </c>
      <c r="O10" s="23">
        <v>1</v>
      </c>
      <c r="P10" s="23">
        <v>0.99866100000000002</v>
      </c>
      <c r="Q10" s="24">
        <v>-646070.35</v>
      </c>
      <c r="R10" s="24">
        <v>-80576.27</v>
      </c>
      <c r="S10" s="24">
        <v>-528406</v>
      </c>
      <c r="T10" s="24">
        <v>254317</v>
      </c>
      <c r="U10" s="23">
        <v>0.1447</v>
      </c>
      <c r="V10" s="22">
        <v>-4111.41</v>
      </c>
      <c r="W10" s="25">
        <v>-2.64</v>
      </c>
      <c r="X10" s="25">
        <v>-2.1800000000000002</v>
      </c>
      <c r="Y10" s="25">
        <v>-0.23</v>
      </c>
    </row>
    <row r="11" spans="1:25" ht="15.75" customHeight="1" x14ac:dyDescent="0.15">
      <c r="A11" s="26">
        <v>44060</v>
      </c>
      <c r="B11" s="27" t="s">
        <v>75</v>
      </c>
      <c r="C11" s="27" t="s">
        <v>75</v>
      </c>
      <c r="D11" s="26">
        <v>53063</v>
      </c>
      <c r="E11" s="27" t="s">
        <v>76</v>
      </c>
      <c r="F11" s="37" t="s">
        <v>77</v>
      </c>
      <c r="G11" s="29" t="s">
        <v>78</v>
      </c>
      <c r="H11" s="30" t="s">
        <v>79</v>
      </c>
      <c r="I11" s="31">
        <v>100</v>
      </c>
      <c r="J11" s="31">
        <v>100</v>
      </c>
      <c r="K11" s="31">
        <v>100</v>
      </c>
      <c r="L11" s="44">
        <v>10000</v>
      </c>
      <c r="M11" s="32">
        <v>210.43870000000001</v>
      </c>
      <c r="N11" s="32">
        <v>255428</v>
      </c>
      <c r="O11" s="33">
        <v>1</v>
      </c>
      <c r="P11" s="33">
        <v>1.0034959999999999</v>
      </c>
      <c r="Q11" s="34">
        <v>-653411.18000000005</v>
      </c>
      <c r="R11" s="34">
        <v>-83321.009999999995</v>
      </c>
      <c r="S11" s="34">
        <v>-376025</v>
      </c>
      <c r="T11" s="34">
        <v>371538</v>
      </c>
      <c r="U11" s="33">
        <v>8.2900000000000001E-2</v>
      </c>
      <c r="V11" s="32">
        <v>-4158.13</v>
      </c>
      <c r="W11" s="35">
        <v>-3.18</v>
      </c>
      <c r="X11" s="35">
        <v>-2.25</v>
      </c>
      <c r="Y11" s="35">
        <v>-0.2</v>
      </c>
    </row>
    <row r="12" spans="1:25" ht="15.75" customHeight="1" x14ac:dyDescent="0.15">
      <c r="A12" s="15">
        <v>38860</v>
      </c>
      <c r="B12" s="36" t="s">
        <v>80</v>
      </c>
      <c r="C12" s="38" t="s">
        <v>81</v>
      </c>
      <c r="D12" s="39">
        <v>23005</v>
      </c>
      <c r="E12" s="16" t="s">
        <v>82</v>
      </c>
      <c r="F12" s="36" t="s">
        <v>83</v>
      </c>
      <c r="G12" s="18" t="s">
        <v>84</v>
      </c>
      <c r="H12" s="19" t="s">
        <v>85</v>
      </c>
      <c r="I12" s="20">
        <v>4999</v>
      </c>
      <c r="J12" s="20">
        <v>660</v>
      </c>
      <c r="K12" s="20">
        <v>660</v>
      </c>
      <c r="L12" s="50">
        <v>66000</v>
      </c>
      <c r="M12" s="46">
        <v>190.63120000000001</v>
      </c>
      <c r="N12" s="46">
        <v>246690</v>
      </c>
      <c r="O12" s="47">
        <v>0.92260799999999998</v>
      </c>
      <c r="P12" s="47">
        <v>0.929226</v>
      </c>
      <c r="Q12" s="48">
        <v>-447429.2</v>
      </c>
      <c r="R12" s="48">
        <v>-86128.3</v>
      </c>
      <c r="S12" s="48">
        <v>-920539</v>
      </c>
      <c r="T12" s="48">
        <v>273418</v>
      </c>
      <c r="U12" s="47">
        <v>0.254</v>
      </c>
      <c r="V12" s="46">
        <v>-2847.32</v>
      </c>
      <c r="W12" s="49">
        <v>-1.42</v>
      </c>
      <c r="X12" s="49">
        <v>-1.19</v>
      </c>
      <c r="Y12" s="49">
        <v>-0.1</v>
      </c>
    </row>
    <row r="13" spans="1:25" ht="15.75" customHeight="1" x14ac:dyDescent="0.15">
      <c r="A13" s="26">
        <v>12260</v>
      </c>
      <c r="B13" s="27" t="s">
        <v>86</v>
      </c>
      <c r="C13" s="27" t="s">
        <v>87</v>
      </c>
      <c r="D13" s="26">
        <v>13245</v>
      </c>
      <c r="E13" s="27" t="s">
        <v>88</v>
      </c>
      <c r="F13" s="28" t="s">
        <v>89</v>
      </c>
      <c r="G13" s="29" t="s">
        <v>90</v>
      </c>
      <c r="H13" s="30" t="s">
        <v>91</v>
      </c>
      <c r="I13" s="31">
        <v>10</v>
      </c>
      <c r="J13" s="31">
        <v>10</v>
      </c>
      <c r="K13" s="31">
        <v>10</v>
      </c>
      <c r="L13" s="44">
        <v>1000</v>
      </c>
      <c r="M13" s="32">
        <v>194.1283</v>
      </c>
      <c r="N13" s="32">
        <v>285349</v>
      </c>
      <c r="O13" s="33">
        <v>1</v>
      </c>
      <c r="P13" s="33">
        <v>1.0002219999999999</v>
      </c>
      <c r="Q13" s="34">
        <v>-647080.21</v>
      </c>
      <c r="R13" s="34">
        <v>-86883.48</v>
      </c>
      <c r="S13" s="34">
        <v>-480048</v>
      </c>
      <c r="T13" s="34">
        <v>288213</v>
      </c>
      <c r="U13" s="33">
        <v>0.1273</v>
      </c>
      <c r="V13" s="32">
        <v>-4117.84</v>
      </c>
      <c r="W13" s="35">
        <v>-2.64</v>
      </c>
      <c r="X13" s="35">
        <v>-2.1800000000000002</v>
      </c>
      <c r="Y13" s="35">
        <v>-0.23</v>
      </c>
    </row>
    <row r="14" spans="1:25" ht="15.75" customHeight="1" x14ac:dyDescent="0.15">
      <c r="A14" s="26">
        <v>37860</v>
      </c>
      <c r="B14" s="27" t="s">
        <v>92</v>
      </c>
      <c r="C14" s="27" t="s">
        <v>93</v>
      </c>
      <c r="D14" s="26">
        <v>12033</v>
      </c>
      <c r="E14" s="27" t="s">
        <v>94</v>
      </c>
      <c r="F14" s="28" t="s">
        <v>95</v>
      </c>
      <c r="G14" s="29" t="s">
        <v>96</v>
      </c>
      <c r="H14" s="30" t="s">
        <v>97</v>
      </c>
      <c r="I14" s="31">
        <v>2000</v>
      </c>
      <c r="J14" s="31">
        <v>10</v>
      </c>
      <c r="K14" s="31">
        <v>10</v>
      </c>
      <c r="L14" s="44">
        <v>1000</v>
      </c>
      <c r="M14" s="32">
        <v>221.12209999999999</v>
      </c>
      <c r="N14" s="32">
        <v>335063</v>
      </c>
      <c r="O14" s="41">
        <v>1</v>
      </c>
      <c r="P14" s="33">
        <v>0.99950600000000001</v>
      </c>
      <c r="Q14" s="34">
        <v>-759650.26</v>
      </c>
      <c r="R14" s="34">
        <v>-87646.56</v>
      </c>
      <c r="S14" s="34">
        <v>-667575</v>
      </c>
      <c r="T14" s="34">
        <v>275184</v>
      </c>
      <c r="U14" s="33">
        <v>0.159</v>
      </c>
      <c r="V14" s="32">
        <v>-4834.2</v>
      </c>
      <c r="W14" s="35">
        <v>-3.11</v>
      </c>
      <c r="X14" s="35">
        <v>-2.6</v>
      </c>
      <c r="Y14" s="35">
        <v>-0.27</v>
      </c>
    </row>
    <row r="15" spans="1:25" ht="15.75" customHeight="1" thickBot="1" x14ac:dyDescent="0.2">
      <c r="A15" s="15">
        <v>49180</v>
      </c>
      <c r="B15" s="16" t="s">
        <v>98</v>
      </c>
      <c r="C15" s="16" t="s">
        <v>99</v>
      </c>
      <c r="D15" s="15">
        <v>37067</v>
      </c>
      <c r="E15" s="16" t="s">
        <v>100</v>
      </c>
      <c r="F15" s="17" t="s">
        <v>101</v>
      </c>
      <c r="G15" s="18" t="s">
        <v>102</v>
      </c>
      <c r="H15" s="19" t="s">
        <v>74</v>
      </c>
      <c r="I15" s="20">
        <v>20</v>
      </c>
      <c r="J15" s="20">
        <v>20</v>
      </c>
      <c r="K15" s="20">
        <v>20</v>
      </c>
      <c r="L15" s="51">
        <v>2000</v>
      </c>
      <c r="M15" s="22">
        <v>189.61439999999999</v>
      </c>
      <c r="N15" s="22">
        <v>273225</v>
      </c>
      <c r="O15" s="23">
        <v>1</v>
      </c>
      <c r="P15" s="23">
        <v>0.99646000000000001</v>
      </c>
      <c r="Q15" s="24">
        <v>-619049.68000000005</v>
      </c>
      <c r="R15" s="24">
        <v>-90691.87</v>
      </c>
      <c r="S15" s="24">
        <v>-397079</v>
      </c>
      <c r="T15" s="24">
        <v>274943</v>
      </c>
      <c r="U15" s="23">
        <v>0.1037</v>
      </c>
      <c r="V15" s="22">
        <v>-3939.45</v>
      </c>
      <c r="W15" s="25">
        <v>-2.52</v>
      </c>
      <c r="X15" s="25">
        <v>-2.1</v>
      </c>
      <c r="Y15" s="25">
        <v>-0.22</v>
      </c>
    </row>
    <row r="16" spans="1:25" ht="15.75" customHeight="1" x14ac:dyDescent="0.15">
      <c r="A16" s="15">
        <v>24860</v>
      </c>
      <c r="B16" s="36" t="s">
        <v>103</v>
      </c>
      <c r="C16" s="38" t="s">
        <v>103</v>
      </c>
      <c r="D16" s="39">
        <v>45045</v>
      </c>
      <c r="E16" s="16" t="s">
        <v>71</v>
      </c>
      <c r="F16" s="17" t="s">
        <v>104</v>
      </c>
      <c r="G16" s="18" t="s">
        <v>105</v>
      </c>
      <c r="H16" s="19" t="s">
        <v>74</v>
      </c>
      <c r="I16" s="20">
        <v>20</v>
      </c>
      <c r="J16" s="20">
        <v>20</v>
      </c>
      <c r="K16" s="20">
        <v>20</v>
      </c>
      <c r="L16" s="50">
        <v>2000</v>
      </c>
      <c r="M16" s="46">
        <v>198.2859</v>
      </c>
      <c r="N16" s="46">
        <v>285349</v>
      </c>
      <c r="O16" s="47">
        <v>1</v>
      </c>
      <c r="P16" s="47">
        <v>0.999197</v>
      </c>
      <c r="Q16" s="48">
        <v>-646416.71</v>
      </c>
      <c r="R16" s="48">
        <v>-90946.02</v>
      </c>
      <c r="S16" s="48">
        <v>-363137</v>
      </c>
      <c r="T16" s="48">
        <v>335905</v>
      </c>
      <c r="U16" s="47">
        <v>8.5999999999999993E-2</v>
      </c>
      <c r="V16" s="46">
        <v>-4113.6099999999997</v>
      </c>
      <c r="W16" s="49">
        <v>-2.65</v>
      </c>
      <c r="X16" s="49">
        <v>-2.2000000000000002</v>
      </c>
      <c r="Y16" s="49">
        <v>-0.23</v>
      </c>
    </row>
    <row r="17" spans="1:25" ht="15.75" customHeight="1" x14ac:dyDescent="0.15">
      <c r="A17" s="26">
        <v>38940</v>
      </c>
      <c r="B17" s="27" t="s">
        <v>106</v>
      </c>
      <c r="C17" s="27" t="s">
        <v>107</v>
      </c>
      <c r="D17" s="26">
        <v>12111</v>
      </c>
      <c r="E17" s="27" t="s">
        <v>94</v>
      </c>
      <c r="F17" s="28" t="s">
        <v>108</v>
      </c>
      <c r="G17" s="29" t="s">
        <v>109</v>
      </c>
      <c r="H17" s="30" t="s">
        <v>97</v>
      </c>
      <c r="I17" s="31">
        <v>2000</v>
      </c>
      <c r="J17" s="31">
        <v>10</v>
      </c>
      <c r="K17" s="31">
        <v>10</v>
      </c>
      <c r="L17" s="44">
        <v>1000</v>
      </c>
      <c r="M17" s="32">
        <v>219.63399999999999</v>
      </c>
      <c r="N17" s="32">
        <v>335063</v>
      </c>
      <c r="O17" s="33">
        <v>1</v>
      </c>
      <c r="P17" s="33">
        <v>1.0024580000000001</v>
      </c>
      <c r="Q17" s="34">
        <v>-761893.45</v>
      </c>
      <c r="R17" s="34">
        <v>-91428.98</v>
      </c>
      <c r="S17" s="34">
        <v>-622892</v>
      </c>
      <c r="T17" s="34">
        <v>430473</v>
      </c>
      <c r="U17" s="33">
        <v>0.14860000000000001</v>
      </c>
      <c r="V17" s="32">
        <v>-4848.4799999999996</v>
      </c>
      <c r="W17" s="35">
        <v>-3.11</v>
      </c>
      <c r="X17" s="35">
        <v>-2.65</v>
      </c>
      <c r="Y17" s="35">
        <v>-0.28000000000000003</v>
      </c>
    </row>
    <row r="18" spans="1:25" ht="15.75" customHeight="1" x14ac:dyDescent="0.15">
      <c r="A18" s="15">
        <v>16700</v>
      </c>
      <c r="B18" s="16" t="s">
        <v>110</v>
      </c>
      <c r="C18" s="16" t="s">
        <v>110</v>
      </c>
      <c r="D18" s="15">
        <v>45019</v>
      </c>
      <c r="E18" s="16" t="s">
        <v>71</v>
      </c>
      <c r="F18" s="36" t="s">
        <v>111</v>
      </c>
      <c r="G18" s="18" t="s">
        <v>112</v>
      </c>
      <c r="H18" s="19" t="s">
        <v>74</v>
      </c>
      <c r="I18" s="20">
        <v>20</v>
      </c>
      <c r="J18" s="20">
        <v>20</v>
      </c>
      <c r="K18" s="20">
        <v>20</v>
      </c>
      <c r="L18" s="50">
        <v>2000</v>
      </c>
      <c r="M18" s="22">
        <v>194.83</v>
      </c>
      <c r="N18" s="22">
        <v>285496</v>
      </c>
      <c r="O18" s="23">
        <v>1</v>
      </c>
      <c r="P18" s="23">
        <v>0.99785100000000004</v>
      </c>
      <c r="Q18" s="24">
        <v>-645545.80000000005</v>
      </c>
      <c r="R18" s="24">
        <v>-91569.31</v>
      </c>
      <c r="S18" s="24">
        <v>-650433</v>
      </c>
      <c r="T18" s="24">
        <v>210843</v>
      </c>
      <c r="U18" s="23">
        <v>0.17660000000000001</v>
      </c>
      <c r="V18" s="22">
        <v>-4108.07</v>
      </c>
      <c r="W18" s="25">
        <v>-2.65</v>
      </c>
      <c r="X18" s="25">
        <v>-2.1800000000000002</v>
      </c>
      <c r="Y18" s="25">
        <v>-0.23</v>
      </c>
    </row>
    <row r="19" spans="1:25" ht="15.75" customHeight="1" x14ac:dyDescent="0.15">
      <c r="A19" s="15">
        <v>37340</v>
      </c>
      <c r="B19" s="16" t="s">
        <v>113</v>
      </c>
      <c r="C19" s="16" t="s">
        <v>114</v>
      </c>
      <c r="D19" s="15">
        <v>12009</v>
      </c>
      <c r="E19" s="16" t="s">
        <v>94</v>
      </c>
      <c r="F19" s="36" t="s">
        <v>115</v>
      </c>
      <c r="G19" s="18" t="s">
        <v>116</v>
      </c>
      <c r="H19" s="19" t="s">
        <v>97</v>
      </c>
      <c r="I19" s="20">
        <v>2000</v>
      </c>
      <c r="J19" s="20">
        <v>10</v>
      </c>
      <c r="K19" s="20">
        <v>10</v>
      </c>
      <c r="L19" s="50">
        <v>1000</v>
      </c>
      <c r="M19" s="22">
        <v>213.9314</v>
      </c>
      <c r="N19" s="22">
        <v>335063</v>
      </c>
      <c r="O19" s="23">
        <v>1</v>
      </c>
      <c r="P19" s="23">
        <v>0.997641</v>
      </c>
      <c r="Q19" s="24">
        <v>-758232.47</v>
      </c>
      <c r="R19" s="24">
        <v>-95344.42</v>
      </c>
      <c r="S19" s="24">
        <v>-645830</v>
      </c>
      <c r="T19" s="24">
        <v>366543</v>
      </c>
      <c r="U19" s="23">
        <v>0.159</v>
      </c>
      <c r="V19" s="22">
        <v>-4825.18</v>
      </c>
      <c r="W19" s="25">
        <v>-3.1</v>
      </c>
      <c r="X19" s="25">
        <v>-2.59</v>
      </c>
      <c r="Y19" s="25">
        <v>-0.27</v>
      </c>
    </row>
    <row r="20" spans="1:25" ht="15.75" customHeight="1" x14ac:dyDescent="0.15">
      <c r="A20" s="15">
        <v>39580</v>
      </c>
      <c r="B20" s="16" t="s">
        <v>117</v>
      </c>
      <c r="C20" s="16" t="s">
        <v>118</v>
      </c>
      <c r="D20" s="15">
        <v>37183</v>
      </c>
      <c r="E20" s="16" t="s">
        <v>100</v>
      </c>
      <c r="F20" s="17" t="s">
        <v>119</v>
      </c>
      <c r="G20" s="18" t="s">
        <v>102</v>
      </c>
      <c r="H20" s="19" t="s">
        <v>74</v>
      </c>
      <c r="I20" s="20">
        <v>20</v>
      </c>
      <c r="J20" s="20">
        <v>20</v>
      </c>
      <c r="K20" s="20">
        <v>20</v>
      </c>
      <c r="L20" s="50">
        <v>2000</v>
      </c>
      <c r="M20" s="22">
        <v>194.6371</v>
      </c>
      <c r="N20" s="22">
        <v>273357</v>
      </c>
      <c r="O20" s="23">
        <v>1</v>
      </c>
      <c r="P20" s="23">
        <v>0.99687999999999999</v>
      </c>
      <c r="Q20" s="24">
        <v>-619310.85</v>
      </c>
      <c r="R20" s="24">
        <v>-96086.69</v>
      </c>
      <c r="S20" s="24">
        <v>-397081</v>
      </c>
      <c r="T20" s="24">
        <v>282141</v>
      </c>
      <c r="U20" s="23">
        <v>0.10009999999999999</v>
      </c>
      <c r="V20" s="22">
        <v>-3941.12</v>
      </c>
      <c r="W20" s="25">
        <v>-2.5299999999999998</v>
      </c>
      <c r="X20" s="25">
        <v>-2.09</v>
      </c>
      <c r="Y20" s="25">
        <v>-0.22</v>
      </c>
    </row>
    <row r="21" spans="1:25" ht="15.75" customHeight="1" x14ac:dyDescent="0.15">
      <c r="A21" s="15">
        <v>17900</v>
      </c>
      <c r="B21" s="16" t="s">
        <v>120</v>
      </c>
      <c r="C21" s="16" t="s">
        <v>121</v>
      </c>
      <c r="D21" s="15">
        <v>45079</v>
      </c>
      <c r="E21" s="16" t="s">
        <v>71</v>
      </c>
      <c r="F21" s="17" t="s">
        <v>122</v>
      </c>
      <c r="G21" s="18" t="s">
        <v>112</v>
      </c>
      <c r="H21" s="19" t="s">
        <v>74</v>
      </c>
      <c r="I21" s="20">
        <v>20</v>
      </c>
      <c r="J21" s="20">
        <v>20</v>
      </c>
      <c r="K21" s="20">
        <v>20</v>
      </c>
      <c r="L21" s="50">
        <v>2000</v>
      </c>
      <c r="M21" s="22">
        <v>197.27979999999999</v>
      </c>
      <c r="N21" s="22">
        <v>285531</v>
      </c>
      <c r="O21" s="23">
        <v>1</v>
      </c>
      <c r="P21" s="23">
        <v>0.99546999999999997</v>
      </c>
      <c r="Q21" s="24">
        <v>-644005.72</v>
      </c>
      <c r="R21" s="24">
        <v>-96256.87</v>
      </c>
      <c r="S21" s="24">
        <v>-645637</v>
      </c>
      <c r="T21" s="24">
        <v>219150</v>
      </c>
      <c r="U21" s="23">
        <v>0.17299999999999999</v>
      </c>
      <c r="V21" s="22">
        <v>-4098.2700000000004</v>
      </c>
      <c r="W21" s="25">
        <v>-2.64</v>
      </c>
      <c r="X21" s="25">
        <v>-2.16</v>
      </c>
      <c r="Y21" s="25">
        <v>-0.23</v>
      </c>
    </row>
    <row r="22" spans="1:25" ht="15.75" customHeight="1" x14ac:dyDescent="0.15">
      <c r="A22" s="15">
        <v>22180</v>
      </c>
      <c r="B22" s="16" t="s">
        <v>123</v>
      </c>
      <c r="C22" s="16" t="s">
        <v>81</v>
      </c>
      <c r="D22" s="15">
        <v>37051</v>
      </c>
      <c r="E22" s="16" t="s">
        <v>100</v>
      </c>
      <c r="F22" s="17" t="s">
        <v>124</v>
      </c>
      <c r="G22" s="18" t="s">
        <v>125</v>
      </c>
      <c r="H22" s="19" t="s">
        <v>79</v>
      </c>
      <c r="I22" s="20">
        <v>100</v>
      </c>
      <c r="J22" s="20">
        <v>20</v>
      </c>
      <c r="K22" s="20">
        <v>20</v>
      </c>
      <c r="L22" s="50">
        <v>2000</v>
      </c>
      <c r="M22" s="22">
        <v>198.68430000000001</v>
      </c>
      <c r="N22" s="22">
        <v>285416</v>
      </c>
      <c r="O22" s="23">
        <v>1</v>
      </c>
      <c r="P22" s="23">
        <v>0.99955099999999997</v>
      </c>
      <c r="Q22" s="24">
        <v>-646645.78</v>
      </c>
      <c r="R22" s="24">
        <v>-99747.93</v>
      </c>
      <c r="S22" s="24">
        <v>-473720</v>
      </c>
      <c r="T22" s="24">
        <v>293309</v>
      </c>
      <c r="U22" s="23">
        <v>0.12189999999999999</v>
      </c>
      <c r="V22" s="22">
        <v>-4115.07</v>
      </c>
      <c r="W22" s="25">
        <v>-2.64</v>
      </c>
      <c r="X22" s="25">
        <v>-2.17</v>
      </c>
      <c r="Y22" s="25">
        <v>-0.23</v>
      </c>
    </row>
    <row r="23" spans="1:25" ht="15.75" customHeight="1" x14ac:dyDescent="0.15">
      <c r="A23" s="26">
        <v>16740</v>
      </c>
      <c r="B23" s="27" t="s">
        <v>126</v>
      </c>
      <c r="C23" s="38" t="s">
        <v>127</v>
      </c>
      <c r="D23" s="26">
        <v>37119</v>
      </c>
      <c r="E23" s="27" t="s">
        <v>100</v>
      </c>
      <c r="F23" s="28" t="s">
        <v>128</v>
      </c>
      <c r="G23" s="29" t="s">
        <v>102</v>
      </c>
      <c r="H23" s="27" t="s">
        <v>74</v>
      </c>
      <c r="I23" s="31">
        <v>20</v>
      </c>
      <c r="J23" s="31">
        <v>20</v>
      </c>
      <c r="K23" s="31">
        <v>20</v>
      </c>
      <c r="L23" s="44">
        <v>2000</v>
      </c>
      <c r="M23" s="40">
        <v>204.65979999999999</v>
      </c>
      <c r="N23" s="40">
        <v>285597</v>
      </c>
      <c r="O23" s="41">
        <v>1</v>
      </c>
      <c r="P23" s="41">
        <v>0.99424999999999997</v>
      </c>
      <c r="Q23" s="42">
        <v>-643216.37</v>
      </c>
      <c r="R23" s="42">
        <v>-102301.37</v>
      </c>
      <c r="S23" s="42">
        <v>-414706</v>
      </c>
      <c r="T23" s="42">
        <v>296514</v>
      </c>
      <c r="U23" s="41">
        <v>9.9199999999999997E-2</v>
      </c>
      <c r="V23" s="40">
        <v>-4093.25</v>
      </c>
      <c r="W23" s="43">
        <v>-2.64</v>
      </c>
      <c r="X23" s="43">
        <v>-2.17</v>
      </c>
      <c r="Y23" s="43">
        <v>-0.23</v>
      </c>
    </row>
    <row r="24" spans="1:25" ht="15.75" customHeight="1" x14ac:dyDescent="0.15">
      <c r="A24" s="15">
        <v>12060</v>
      </c>
      <c r="B24" s="16" t="s">
        <v>129</v>
      </c>
      <c r="C24" s="16" t="s">
        <v>130</v>
      </c>
      <c r="D24" s="15">
        <v>13121</v>
      </c>
      <c r="E24" s="16" t="s">
        <v>88</v>
      </c>
      <c r="F24" s="17" t="s">
        <v>131</v>
      </c>
      <c r="G24" s="18" t="s">
        <v>132</v>
      </c>
      <c r="H24" s="19" t="s">
        <v>91</v>
      </c>
      <c r="I24" s="20">
        <v>10</v>
      </c>
      <c r="J24" s="20">
        <v>10</v>
      </c>
      <c r="K24" s="20">
        <v>10</v>
      </c>
      <c r="L24" s="50">
        <v>1000</v>
      </c>
      <c r="M24" s="52">
        <v>198.47829999999999</v>
      </c>
      <c r="N24" s="22">
        <v>285349</v>
      </c>
      <c r="O24" s="23">
        <v>1</v>
      </c>
      <c r="P24" s="23">
        <v>0.99533199999999999</v>
      </c>
      <c r="Q24" s="24">
        <v>-643916.56999999995</v>
      </c>
      <c r="R24" s="24">
        <v>-105814.39</v>
      </c>
      <c r="S24" s="24">
        <v>-487712</v>
      </c>
      <c r="T24" s="24">
        <v>286784</v>
      </c>
      <c r="U24" s="23">
        <v>0.12640000000000001</v>
      </c>
      <c r="V24" s="20">
        <v>-4097.7</v>
      </c>
      <c r="W24" s="25">
        <v>-2.64</v>
      </c>
      <c r="X24" s="25">
        <v>-2.19</v>
      </c>
      <c r="Y24" s="25">
        <v>-0.23</v>
      </c>
    </row>
    <row r="25" spans="1:25" ht="15.75" customHeight="1" thickBot="1" x14ac:dyDescent="0.2">
      <c r="A25" s="53">
        <v>35840</v>
      </c>
      <c r="B25" s="54" t="s">
        <v>133</v>
      </c>
      <c r="C25" s="54" t="s">
        <v>133</v>
      </c>
      <c r="D25" s="53">
        <v>12115</v>
      </c>
      <c r="E25" s="54" t="s">
        <v>94</v>
      </c>
      <c r="F25" s="55" t="s">
        <v>134</v>
      </c>
      <c r="G25" s="56" t="s">
        <v>109</v>
      </c>
      <c r="H25" s="57" t="s">
        <v>97</v>
      </c>
      <c r="I25" s="58">
        <v>2000</v>
      </c>
      <c r="J25" s="58">
        <v>10</v>
      </c>
      <c r="K25" s="20">
        <v>10</v>
      </c>
      <c r="L25" s="51">
        <v>1000</v>
      </c>
      <c r="M25" s="59">
        <v>207.30340000000001</v>
      </c>
      <c r="N25" s="59">
        <v>335063</v>
      </c>
      <c r="O25" s="60">
        <v>1</v>
      </c>
      <c r="P25" s="60">
        <v>0.99773000000000001</v>
      </c>
      <c r="Q25" s="61">
        <v>-758300.2</v>
      </c>
      <c r="R25" s="61">
        <v>-114238.04</v>
      </c>
      <c r="S25" s="61">
        <v>-627103</v>
      </c>
      <c r="T25" s="61">
        <v>408587</v>
      </c>
      <c r="U25" s="60">
        <v>0.1593</v>
      </c>
      <c r="V25" s="59">
        <v>-4825.6099999999997</v>
      </c>
      <c r="W25" s="62">
        <v>-3.09</v>
      </c>
      <c r="X25" s="62">
        <v>-2.59</v>
      </c>
      <c r="Y25" s="62">
        <v>-0.27</v>
      </c>
    </row>
    <row r="26" spans="1:25" ht="15.75" customHeight="1" x14ac:dyDescent="0.15">
      <c r="A26" s="26">
        <v>40060</v>
      </c>
      <c r="B26" s="27" t="s">
        <v>87</v>
      </c>
      <c r="C26" s="27" t="s">
        <v>87</v>
      </c>
      <c r="D26" s="26">
        <v>51760</v>
      </c>
      <c r="E26" s="27" t="s">
        <v>135</v>
      </c>
      <c r="F26" s="28" t="s">
        <v>136</v>
      </c>
      <c r="G26" s="29" t="s">
        <v>137</v>
      </c>
      <c r="H26" s="30" t="s">
        <v>138</v>
      </c>
      <c r="I26" s="31">
        <v>1000</v>
      </c>
      <c r="J26" s="31">
        <v>20</v>
      </c>
      <c r="K26" s="31">
        <v>20</v>
      </c>
      <c r="L26" s="44">
        <v>2000</v>
      </c>
      <c r="M26" s="32">
        <v>199.2533</v>
      </c>
      <c r="N26" s="32">
        <v>273225</v>
      </c>
      <c r="O26" s="33">
        <v>1</v>
      </c>
      <c r="P26" s="33">
        <v>0.99381399999999998</v>
      </c>
      <c r="Q26" s="34">
        <v>-617405.75</v>
      </c>
      <c r="R26" s="34">
        <v>-118455.01</v>
      </c>
      <c r="S26" s="34">
        <v>-422516</v>
      </c>
      <c r="T26" s="34">
        <v>339275</v>
      </c>
      <c r="U26" s="33">
        <v>0.10539999999999999</v>
      </c>
      <c r="V26" s="32">
        <v>-3928.99</v>
      </c>
      <c r="W26" s="35">
        <v>-2.52</v>
      </c>
      <c r="X26" s="35">
        <v>-2.09</v>
      </c>
      <c r="Y26" s="35">
        <v>-0.22</v>
      </c>
    </row>
    <row r="27" spans="1:25" ht="15.75" customHeight="1" x14ac:dyDescent="0.15">
      <c r="A27" s="15">
        <v>29460</v>
      </c>
      <c r="B27" s="16" t="s">
        <v>139</v>
      </c>
      <c r="C27" s="16" t="s">
        <v>140</v>
      </c>
      <c r="D27" s="15">
        <v>12105</v>
      </c>
      <c r="E27" s="16" t="s">
        <v>94</v>
      </c>
      <c r="F27" s="17" t="s">
        <v>141</v>
      </c>
      <c r="G27" s="18" t="s">
        <v>142</v>
      </c>
      <c r="H27" s="19" t="s">
        <v>143</v>
      </c>
      <c r="I27" s="25">
        <v>100</v>
      </c>
      <c r="J27" s="20">
        <v>10</v>
      </c>
      <c r="K27" s="25">
        <v>10</v>
      </c>
      <c r="L27" s="50">
        <v>1000</v>
      </c>
      <c r="M27" s="22">
        <v>216.249</v>
      </c>
      <c r="N27" s="22">
        <v>335063</v>
      </c>
      <c r="O27" s="23">
        <v>1</v>
      </c>
      <c r="P27" s="23">
        <v>0.99967600000000001</v>
      </c>
      <c r="Q27" s="24">
        <v>-759779.45</v>
      </c>
      <c r="R27" s="24">
        <v>-121197.94</v>
      </c>
      <c r="S27" s="24">
        <v>-629416</v>
      </c>
      <c r="T27" s="24">
        <v>372457</v>
      </c>
      <c r="U27" s="23">
        <v>0.15290000000000001</v>
      </c>
      <c r="V27" s="22">
        <v>-4835.0200000000004</v>
      </c>
      <c r="W27" s="25">
        <v>-3.1</v>
      </c>
      <c r="X27" s="25">
        <v>-2.61</v>
      </c>
      <c r="Y27" s="25">
        <v>-0.27</v>
      </c>
    </row>
    <row r="28" spans="1:25" ht="15.75" customHeight="1" x14ac:dyDescent="0.15">
      <c r="A28" s="26">
        <v>22220</v>
      </c>
      <c r="B28" s="27" t="s">
        <v>123</v>
      </c>
      <c r="C28" s="27" t="s">
        <v>144</v>
      </c>
      <c r="D28" s="26">
        <v>5143</v>
      </c>
      <c r="E28" s="27" t="s">
        <v>145</v>
      </c>
      <c r="F28" s="28" t="s">
        <v>146</v>
      </c>
      <c r="G28" s="29" t="s">
        <v>147</v>
      </c>
      <c r="H28" s="30" t="s">
        <v>138</v>
      </c>
      <c r="I28" s="31">
        <v>1000</v>
      </c>
      <c r="J28" s="31">
        <v>25</v>
      </c>
      <c r="K28" s="31">
        <v>25</v>
      </c>
      <c r="L28" s="44">
        <v>2500</v>
      </c>
      <c r="M28" s="32">
        <v>195.5181</v>
      </c>
      <c r="N28" s="32">
        <v>273225</v>
      </c>
      <c r="O28" s="33">
        <v>1</v>
      </c>
      <c r="P28" s="33">
        <v>1.0006250000000001</v>
      </c>
      <c r="Q28" s="34">
        <v>-720171.74</v>
      </c>
      <c r="R28" s="34">
        <v>-125723.6</v>
      </c>
      <c r="S28" s="34">
        <v>-381846</v>
      </c>
      <c r="T28" s="34">
        <v>289529</v>
      </c>
      <c r="U28" s="33">
        <v>9.4299999999999995E-2</v>
      </c>
      <c r="V28" s="32">
        <v>-4582.97</v>
      </c>
      <c r="W28" s="35">
        <v>-3.58</v>
      </c>
      <c r="X28" s="35">
        <v>-3.9</v>
      </c>
      <c r="Y28" s="35">
        <v>-0.25</v>
      </c>
    </row>
    <row r="29" spans="1:25" ht="15.75" customHeight="1" x14ac:dyDescent="0.15">
      <c r="A29" s="26">
        <v>36420</v>
      </c>
      <c r="B29" s="27" t="s">
        <v>148</v>
      </c>
      <c r="C29" s="27" t="s">
        <v>149</v>
      </c>
      <c r="D29" s="26">
        <v>40109</v>
      </c>
      <c r="E29" s="27" t="s">
        <v>150</v>
      </c>
      <c r="F29" s="28" t="s">
        <v>151</v>
      </c>
      <c r="G29" s="29" t="s">
        <v>152</v>
      </c>
      <c r="H29" s="27" t="s">
        <v>153</v>
      </c>
      <c r="I29" s="31">
        <v>25</v>
      </c>
      <c r="J29" s="31">
        <v>300</v>
      </c>
      <c r="K29" s="31">
        <v>25</v>
      </c>
      <c r="L29" s="44">
        <v>2500</v>
      </c>
      <c r="M29" s="32">
        <v>188.0489</v>
      </c>
      <c r="N29" s="32">
        <v>285349</v>
      </c>
      <c r="O29" s="33">
        <v>1</v>
      </c>
      <c r="P29" s="33">
        <v>1.000678</v>
      </c>
      <c r="Q29" s="34">
        <v>-751765.53</v>
      </c>
      <c r="R29" s="34">
        <v>-127479.05</v>
      </c>
      <c r="S29" s="34">
        <v>-436294</v>
      </c>
      <c r="T29" s="34">
        <v>276832</v>
      </c>
      <c r="U29" s="33">
        <v>0.11799999999999999</v>
      </c>
      <c r="V29" s="32">
        <v>-4784.0200000000004</v>
      </c>
      <c r="W29" s="35">
        <v>-3.74</v>
      </c>
      <c r="X29" s="35">
        <v>-4.0599999999999996</v>
      </c>
      <c r="Y29" s="35">
        <v>-0.26</v>
      </c>
    </row>
    <row r="30" spans="1:25" ht="15.75" customHeight="1" x14ac:dyDescent="0.15">
      <c r="A30" s="26">
        <v>19780</v>
      </c>
      <c r="B30" s="27" t="s">
        <v>154</v>
      </c>
      <c r="C30" s="27" t="s">
        <v>140</v>
      </c>
      <c r="D30" s="26">
        <v>19153</v>
      </c>
      <c r="E30" s="27" t="s">
        <v>155</v>
      </c>
      <c r="F30" s="28" t="s">
        <v>156</v>
      </c>
      <c r="G30" s="29" t="s">
        <v>157</v>
      </c>
      <c r="H30" s="30" t="s">
        <v>138</v>
      </c>
      <c r="I30" s="31">
        <v>1000</v>
      </c>
      <c r="J30" s="31">
        <v>1000</v>
      </c>
      <c r="K30" s="31">
        <v>1000</v>
      </c>
      <c r="L30" s="44">
        <v>100000</v>
      </c>
      <c r="M30" s="32">
        <v>198.89590000000001</v>
      </c>
      <c r="N30" s="32">
        <v>265528</v>
      </c>
      <c r="O30" s="33">
        <v>1</v>
      </c>
      <c r="P30" s="33">
        <v>0.97411700000000001</v>
      </c>
      <c r="Q30" s="34">
        <v>-759417.31</v>
      </c>
      <c r="R30" s="34">
        <v>-189372.79</v>
      </c>
      <c r="S30" s="34">
        <v>-513405</v>
      </c>
      <c r="T30" s="34">
        <v>238906</v>
      </c>
      <c r="U30" s="33">
        <v>0.1338</v>
      </c>
      <c r="V30" s="32">
        <v>-4832.71</v>
      </c>
      <c r="W30" s="35">
        <v>-3.34</v>
      </c>
      <c r="X30" s="35">
        <v>-4.4000000000000004</v>
      </c>
      <c r="Y30" s="35">
        <v>-0.22</v>
      </c>
    </row>
    <row r="31" spans="1:25" ht="15.7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31">
        <f>MIN(I31:J31)</f>
        <v>0</v>
      </c>
      <c r="L31" s="63"/>
      <c r="M31" s="38"/>
      <c r="N31" s="38"/>
      <c r="O31" s="64"/>
      <c r="P31" s="64"/>
      <c r="Q31" s="65"/>
      <c r="R31" s="65"/>
      <c r="S31" s="65"/>
      <c r="T31" s="65"/>
      <c r="U31" s="64"/>
      <c r="V31" s="38"/>
      <c r="W31" s="66"/>
      <c r="X31" s="66"/>
      <c r="Y31" s="66"/>
    </row>
  </sheetData>
  <hyperlinks>
    <hyperlink ref="G2" r:id="rId1" location="1__Basic_Information" xr:uid="{B3871A25-C490-E544-BE88-3393E1ABCF4B}"/>
    <hyperlink ref="G3" r:id="rId2" xr:uid="{F58B5165-8D87-664C-A0D6-10843BCB2F11}"/>
    <hyperlink ref="G4" r:id="rId3" xr:uid="{47EDA9BF-39FA-1341-B79A-D1BBBD2FA84C}"/>
    <hyperlink ref="G5" r:id="rId4" xr:uid="{D4384617-7DFA-134E-B08B-EEB269D5AF88}"/>
    <hyperlink ref="G6" r:id="rId5" xr:uid="{E0AAC838-9C03-2C43-9404-D9245F217592}"/>
    <hyperlink ref="G7" r:id="rId6" xr:uid="{3806DFE4-D3E4-C64E-838F-11B23FDD7C67}"/>
    <hyperlink ref="G8" r:id="rId7" xr:uid="{F1A613B2-602B-4941-86FD-7A71768EB7C7}"/>
    <hyperlink ref="G9" r:id="rId8" xr:uid="{021AA075-13B9-BB46-9978-D798D3B9B201}"/>
    <hyperlink ref="G10" r:id="rId9" xr:uid="{A76E3F3F-4128-6F43-B21A-D1FA2D3AB440}"/>
    <hyperlink ref="G11" r:id="rId10" xr:uid="{10E543DA-8391-484E-97EB-107FFC36E3D1}"/>
    <hyperlink ref="G12" r:id="rId11" xr:uid="{53216881-76E1-6740-BE22-6CF612793AE6}"/>
    <hyperlink ref="G13" r:id="rId12" xr:uid="{D707E9F3-2FCA-0442-AC16-B8417514B493}"/>
    <hyperlink ref="G14" r:id="rId13" xr:uid="{B1C009B3-247C-A54F-89ED-A9419204406C}"/>
    <hyperlink ref="G15" r:id="rId14" xr:uid="{A5C212F7-D867-6F43-B1A5-EC0F905DB272}"/>
    <hyperlink ref="G16" r:id="rId15" xr:uid="{E0151D8C-62A5-604D-8FE7-34FA48F4B94C}"/>
    <hyperlink ref="G17" r:id="rId16" xr:uid="{81B4DD3E-7099-C249-BFF5-7A9FEB338A9D}"/>
    <hyperlink ref="G18" r:id="rId17" xr:uid="{A08DD23A-1312-E04D-A3A0-81832D790F15}"/>
    <hyperlink ref="G19" r:id="rId18" xr:uid="{7CF43E91-4282-B243-813F-5E75BD4D5F49}"/>
    <hyperlink ref="G20" r:id="rId19" xr:uid="{CEF1E40E-CDA4-FE40-98DD-178243E9135D}"/>
    <hyperlink ref="G21" r:id="rId20" xr:uid="{B3958EB3-11A0-AE42-B20F-B16CEEECCE58}"/>
    <hyperlink ref="G22" r:id="rId21" xr:uid="{E8F86131-81F4-B94D-90B9-39FA868C9F44}"/>
    <hyperlink ref="G23" r:id="rId22" xr:uid="{0D5C2A58-3E28-4B42-8761-AE906A455451}"/>
    <hyperlink ref="G24" r:id="rId23" location="1__Basic_Information" xr:uid="{F01BB6AC-6F39-0A42-9FD4-5C8E212EDBDA}"/>
    <hyperlink ref="G25" r:id="rId24" xr:uid="{B9A3A29C-A80B-E446-9DE4-40C3E1D71F08}"/>
    <hyperlink ref="G26" r:id="rId25" xr:uid="{D0FD856A-1BED-8A45-A1E0-4BDB17C4B7EB}"/>
    <hyperlink ref="G27" r:id="rId26" xr:uid="{209C607F-C824-7C42-9494-0A7DA72A9B74}"/>
    <hyperlink ref="G28" r:id="rId27" xr:uid="{C44E013A-8916-9648-AAE6-7A7DE186EBCD}"/>
    <hyperlink ref="G29" r:id="rId28" xr:uid="{63C2ADFC-0639-D74D-AD8A-7631F5E7EDCA}"/>
    <hyperlink ref="G30" r:id="rId29" xr:uid="{F4323F97-1D0D-2D4C-BF22-BA173673DF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FDB1-0F5C-3C4E-B07B-BA287F355E7F}">
  <dimension ref="A1:I30"/>
  <sheetViews>
    <sheetView tabSelected="1" workbookViewId="0">
      <selection activeCell="K8" sqref="K8"/>
    </sheetView>
  </sheetViews>
  <sheetFormatPr baseColWidth="10" defaultRowHeight="13" x14ac:dyDescent="0.15"/>
  <sheetData>
    <row r="1" spans="1:9" ht="98" x14ac:dyDescent="0.15">
      <c r="A1" s="1" t="s">
        <v>0</v>
      </c>
      <c r="B1" s="1" t="s">
        <v>1</v>
      </c>
      <c r="C1" s="1" t="s">
        <v>2</v>
      </c>
      <c r="D1" s="1" t="s">
        <v>7</v>
      </c>
      <c r="E1" s="3" t="s">
        <v>11</v>
      </c>
      <c r="F1" s="5" t="s">
        <v>14</v>
      </c>
      <c r="G1" s="8" t="s">
        <v>17</v>
      </c>
      <c r="H1" s="11" t="s">
        <v>20</v>
      </c>
      <c r="I1" s="12" t="s">
        <v>21</v>
      </c>
    </row>
    <row r="2" spans="1:9" ht="14" x14ac:dyDescent="0.15">
      <c r="A2" s="15">
        <v>16860</v>
      </c>
      <c r="B2" s="16" t="s">
        <v>25</v>
      </c>
      <c r="C2" s="16" t="s">
        <v>26</v>
      </c>
      <c r="D2" s="19" t="s">
        <v>30</v>
      </c>
      <c r="E2" s="21">
        <v>0</v>
      </c>
      <c r="F2" s="23">
        <v>0.21135399999999999</v>
      </c>
      <c r="G2" s="24">
        <v>-17816.490000000002</v>
      </c>
      <c r="H2" s="23">
        <v>0.1013</v>
      </c>
      <c r="I2" s="22">
        <v>-830.8</v>
      </c>
    </row>
    <row r="3" spans="1:9" ht="14" x14ac:dyDescent="0.15">
      <c r="A3" s="26">
        <v>28940</v>
      </c>
      <c r="B3" s="27" t="s">
        <v>31</v>
      </c>
      <c r="C3" s="27" t="s">
        <v>32</v>
      </c>
      <c r="D3" s="30" t="s">
        <v>35</v>
      </c>
      <c r="E3" s="21">
        <v>0</v>
      </c>
      <c r="F3" s="33">
        <v>0.208811</v>
      </c>
      <c r="G3" s="34">
        <v>-18002.740000000002</v>
      </c>
      <c r="H3" s="33">
        <v>9.7000000000000003E-2</v>
      </c>
      <c r="I3" s="32">
        <v>-817.32</v>
      </c>
    </row>
    <row r="4" spans="1:9" x14ac:dyDescent="0.15">
      <c r="A4" s="26">
        <v>34980</v>
      </c>
      <c r="B4" s="27" t="s">
        <v>36</v>
      </c>
      <c r="C4" s="27" t="s">
        <v>37</v>
      </c>
      <c r="D4" s="27" t="s">
        <v>40</v>
      </c>
      <c r="E4" s="21">
        <v>0</v>
      </c>
      <c r="F4" s="33">
        <v>0.201103</v>
      </c>
      <c r="G4" s="34">
        <v>-19827.48</v>
      </c>
      <c r="H4" s="33">
        <v>9.64E-2</v>
      </c>
      <c r="I4" s="32">
        <v>-790.66</v>
      </c>
    </row>
    <row r="5" spans="1:9" ht="14" x14ac:dyDescent="0.15">
      <c r="A5" s="26">
        <v>32580</v>
      </c>
      <c r="B5" s="27" t="s">
        <v>41</v>
      </c>
      <c r="C5" s="27" t="s">
        <v>42</v>
      </c>
      <c r="D5" s="30" t="s">
        <v>46</v>
      </c>
      <c r="E5" s="21">
        <v>0</v>
      </c>
      <c r="F5" s="33">
        <v>0.343028</v>
      </c>
      <c r="G5" s="34">
        <v>-20141.04</v>
      </c>
      <c r="H5" s="33">
        <v>0.1376</v>
      </c>
      <c r="I5" s="32">
        <v>-1482.15</v>
      </c>
    </row>
    <row r="6" spans="1:9" ht="14" x14ac:dyDescent="0.15">
      <c r="A6" s="15">
        <v>41700</v>
      </c>
      <c r="B6" s="16" t="s">
        <v>47</v>
      </c>
      <c r="C6" s="16" t="s">
        <v>48</v>
      </c>
      <c r="D6" s="19" t="s">
        <v>51</v>
      </c>
      <c r="E6" s="21">
        <v>0</v>
      </c>
      <c r="F6" s="23">
        <v>0.26642199999999999</v>
      </c>
      <c r="G6" s="24">
        <v>-20530.57</v>
      </c>
      <c r="H6" s="23">
        <v>0.1077</v>
      </c>
      <c r="I6" s="22">
        <v>-1152.3399999999999</v>
      </c>
    </row>
    <row r="7" spans="1:9" ht="14" x14ac:dyDescent="0.15">
      <c r="A7" s="26">
        <v>26620</v>
      </c>
      <c r="B7" s="37" t="s">
        <v>52</v>
      </c>
      <c r="C7" s="38" t="s">
        <v>53</v>
      </c>
      <c r="D7" s="30" t="s">
        <v>57</v>
      </c>
      <c r="E7" s="21">
        <v>0</v>
      </c>
      <c r="F7" s="41">
        <v>0.23657500000000001</v>
      </c>
      <c r="G7" s="42">
        <v>-21837.52</v>
      </c>
      <c r="H7" s="41">
        <v>0.10970000000000001</v>
      </c>
      <c r="I7" s="40">
        <v>-970.86</v>
      </c>
    </row>
    <row r="8" spans="1:9" x14ac:dyDescent="0.15">
      <c r="A8" s="26">
        <v>17820</v>
      </c>
      <c r="B8" s="27" t="s">
        <v>58</v>
      </c>
      <c r="C8" s="27" t="s">
        <v>59</v>
      </c>
      <c r="D8" s="35">
        <v>15</v>
      </c>
      <c r="E8" s="44">
        <v>1000</v>
      </c>
      <c r="F8" s="33">
        <v>1</v>
      </c>
      <c r="G8" s="34">
        <v>-23097.87</v>
      </c>
      <c r="H8" s="33">
        <v>0.10150000000000001</v>
      </c>
      <c r="I8" s="32">
        <v>-4302.38</v>
      </c>
    </row>
    <row r="9" spans="1:9" ht="14" x14ac:dyDescent="0.15">
      <c r="A9" s="15">
        <v>26900</v>
      </c>
      <c r="B9" s="45" t="s">
        <v>63</v>
      </c>
      <c r="C9" s="16" t="s">
        <v>64</v>
      </c>
      <c r="D9" s="19" t="s">
        <v>68</v>
      </c>
      <c r="E9" s="21">
        <v>0</v>
      </c>
      <c r="F9" s="47">
        <v>0.19570699999999999</v>
      </c>
      <c r="G9" s="48">
        <v>-41014.32</v>
      </c>
      <c r="H9" s="47">
        <v>8.72E-2</v>
      </c>
      <c r="I9" s="46">
        <v>-845.91</v>
      </c>
    </row>
    <row r="10" spans="1:9" ht="14" x14ac:dyDescent="0.15">
      <c r="A10" s="15">
        <v>34820</v>
      </c>
      <c r="B10" s="16" t="s">
        <v>69</v>
      </c>
      <c r="C10" s="16" t="s">
        <v>70</v>
      </c>
      <c r="D10" s="19" t="s">
        <v>74</v>
      </c>
      <c r="E10" s="50">
        <v>2000</v>
      </c>
      <c r="F10" s="23">
        <v>1</v>
      </c>
      <c r="G10" s="24">
        <v>-80576.27</v>
      </c>
      <c r="H10" s="23">
        <v>0.1447</v>
      </c>
      <c r="I10" s="22">
        <v>-4111.41</v>
      </c>
    </row>
    <row r="11" spans="1:9" ht="14" x14ac:dyDescent="0.15">
      <c r="A11" s="26">
        <v>44060</v>
      </c>
      <c r="B11" s="27" t="s">
        <v>75</v>
      </c>
      <c r="C11" s="27" t="s">
        <v>75</v>
      </c>
      <c r="D11" s="30" t="s">
        <v>79</v>
      </c>
      <c r="E11" s="44">
        <v>10000</v>
      </c>
      <c r="F11" s="33">
        <v>1</v>
      </c>
      <c r="G11" s="34">
        <v>-83321.009999999995</v>
      </c>
      <c r="H11" s="33">
        <v>8.2900000000000001E-2</v>
      </c>
      <c r="I11" s="32">
        <v>-4158.13</v>
      </c>
    </row>
    <row r="12" spans="1:9" ht="14" x14ac:dyDescent="0.15">
      <c r="A12" s="15">
        <v>38860</v>
      </c>
      <c r="B12" s="36" t="s">
        <v>80</v>
      </c>
      <c r="C12" s="38" t="s">
        <v>81</v>
      </c>
      <c r="D12" s="19" t="s">
        <v>85</v>
      </c>
      <c r="E12" s="50">
        <v>66000</v>
      </c>
      <c r="F12" s="47">
        <v>0.92260799999999998</v>
      </c>
      <c r="G12" s="48">
        <v>-86128.3</v>
      </c>
      <c r="H12" s="47">
        <v>0.254</v>
      </c>
      <c r="I12" s="46">
        <v>-2847.32</v>
      </c>
    </row>
    <row r="13" spans="1:9" ht="14" x14ac:dyDescent="0.15">
      <c r="A13" s="26">
        <v>12260</v>
      </c>
      <c r="B13" s="27" t="s">
        <v>86</v>
      </c>
      <c r="C13" s="27" t="s">
        <v>87</v>
      </c>
      <c r="D13" s="30" t="s">
        <v>91</v>
      </c>
      <c r="E13" s="44">
        <v>1000</v>
      </c>
      <c r="F13" s="33">
        <v>1</v>
      </c>
      <c r="G13" s="34">
        <v>-86883.48</v>
      </c>
      <c r="H13" s="33">
        <v>0.1273</v>
      </c>
      <c r="I13" s="32">
        <v>-4117.84</v>
      </c>
    </row>
    <row r="14" spans="1:9" ht="14" x14ac:dyDescent="0.15">
      <c r="A14" s="26">
        <v>37860</v>
      </c>
      <c r="B14" s="27" t="s">
        <v>92</v>
      </c>
      <c r="C14" s="27" t="s">
        <v>93</v>
      </c>
      <c r="D14" s="30" t="s">
        <v>97</v>
      </c>
      <c r="E14" s="44">
        <v>1000</v>
      </c>
      <c r="F14" s="41">
        <v>1</v>
      </c>
      <c r="G14" s="34">
        <v>-87646.56</v>
      </c>
      <c r="H14" s="33">
        <v>0.159</v>
      </c>
      <c r="I14" s="32">
        <v>-4834.2</v>
      </c>
    </row>
    <row r="15" spans="1:9" ht="15" thickBot="1" x14ac:dyDescent="0.2">
      <c r="A15" s="15">
        <v>49180</v>
      </c>
      <c r="B15" s="16" t="s">
        <v>98</v>
      </c>
      <c r="C15" s="16" t="s">
        <v>99</v>
      </c>
      <c r="D15" s="19" t="s">
        <v>74</v>
      </c>
      <c r="E15" s="51">
        <v>2000</v>
      </c>
      <c r="F15" s="23">
        <v>1</v>
      </c>
      <c r="G15" s="24">
        <v>-90691.87</v>
      </c>
      <c r="H15" s="23">
        <v>0.1037</v>
      </c>
      <c r="I15" s="22">
        <v>-3939.45</v>
      </c>
    </row>
    <row r="16" spans="1:9" ht="14" x14ac:dyDescent="0.15">
      <c r="A16" s="15">
        <v>24860</v>
      </c>
      <c r="B16" s="36" t="s">
        <v>103</v>
      </c>
      <c r="C16" s="38" t="s">
        <v>103</v>
      </c>
      <c r="D16" s="19" t="s">
        <v>74</v>
      </c>
      <c r="E16" s="50">
        <v>2000</v>
      </c>
      <c r="F16" s="47">
        <v>1</v>
      </c>
      <c r="G16" s="48">
        <v>-90946.02</v>
      </c>
      <c r="H16" s="47">
        <v>8.5999999999999993E-2</v>
      </c>
      <c r="I16" s="46">
        <v>-4113.6099999999997</v>
      </c>
    </row>
    <row r="17" spans="1:9" ht="14" x14ac:dyDescent="0.15">
      <c r="A17" s="26">
        <v>38940</v>
      </c>
      <c r="B17" s="27" t="s">
        <v>106</v>
      </c>
      <c r="C17" s="27" t="s">
        <v>107</v>
      </c>
      <c r="D17" s="30" t="s">
        <v>97</v>
      </c>
      <c r="E17" s="44">
        <v>1000</v>
      </c>
      <c r="F17" s="33">
        <v>1</v>
      </c>
      <c r="G17" s="34">
        <v>-91428.98</v>
      </c>
      <c r="H17" s="33">
        <v>0.14860000000000001</v>
      </c>
      <c r="I17" s="32">
        <v>-4848.4799999999996</v>
      </c>
    </row>
    <row r="18" spans="1:9" ht="14" x14ac:dyDescent="0.15">
      <c r="A18" s="15">
        <v>16700</v>
      </c>
      <c r="B18" s="16" t="s">
        <v>110</v>
      </c>
      <c r="C18" s="16" t="s">
        <v>110</v>
      </c>
      <c r="D18" s="19" t="s">
        <v>74</v>
      </c>
      <c r="E18" s="50">
        <v>2000</v>
      </c>
      <c r="F18" s="23">
        <v>1</v>
      </c>
      <c r="G18" s="24">
        <v>-91569.31</v>
      </c>
      <c r="H18" s="23">
        <v>0.17660000000000001</v>
      </c>
      <c r="I18" s="22">
        <v>-4108.07</v>
      </c>
    </row>
    <row r="19" spans="1:9" ht="14" x14ac:dyDescent="0.15">
      <c r="A19" s="15">
        <v>37340</v>
      </c>
      <c r="B19" s="16" t="s">
        <v>113</v>
      </c>
      <c r="C19" s="16" t="s">
        <v>114</v>
      </c>
      <c r="D19" s="19" t="s">
        <v>97</v>
      </c>
      <c r="E19" s="50">
        <v>1000</v>
      </c>
      <c r="F19" s="23">
        <v>1</v>
      </c>
      <c r="G19" s="24">
        <v>-95344.42</v>
      </c>
      <c r="H19" s="23">
        <v>0.159</v>
      </c>
      <c r="I19" s="22">
        <v>-4825.18</v>
      </c>
    </row>
    <row r="20" spans="1:9" ht="14" x14ac:dyDescent="0.15">
      <c r="A20" s="15">
        <v>39580</v>
      </c>
      <c r="B20" s="16" t="s">
        <v>117</v>
      </c>
      <c r="C20" s="16" t="s">
        <v>118</v>
      </c>
      <c r="D20" s="19" t="s">
        <v>74</v>
      </c>
      <c r="E20" s="50">
        <v>2000</v>
      </c>
      <c r="F20" s="23">
        <v>1</v>
      </c>
      <c r="G20" s="24">
        <v>-96086.69</v>
      </c>
      <c r="H20" s="23">
        <v>0.10009999999999999</v>
      </c>
      <c r="I20" s="22">
        <v>-3941.12</v>
      </c>
    </row>
    <row r="21" spans="1:9" ht="14" x14ac:dyDescent="0.15">
      <c r="A21" s="15">
        <v>17900</v>
      </c>
      <c r="B21" s="16" t="s">
        <v>120</v>
      </c>
      <c r="C21" s="16" t="s">
        <v>121</v>
      </c>
      <c r="D21" s="19" t="s">
        <v>74</v>
      </c>
      <c r="E21" s="50">
        <v>2000</v>
      </c>
      <c r="F21" s="23">
        <v>1</v>
      </c>
      <c r="G21" s="24">
        <v>-96256.87</v>
      </c>
      <c r="H21" s="23">
        <v>0.17299999999999999</v>
      </c>
      <c r="I21" s="22">
        <v>-4098.2700000000004</v>
      </c>
    </row>
    <row r="22" spans="1:9" ht="14" x14ac:dyDescent="0.15">
      <c r="A22" s="15">
        <v>22180</v>
      </c>
      <c r="B22" s="16" t="s">
        <v>123</v>
      </c>
      <c r="C22" s="16" t="s">
        <v>81</v>
      </c>
      <c r="D22" s="19" t="s">
        <v>79</v>
      </c>
      <c r="E22" s="50">
        <v>2000</v>
      </c>
      <c r="F22" s="23">
        <v>1</v>
      </c>
      <c r="G22" s="24">
        <v>-99747.93</v>
      </c>
      <c r="H22" s="23">
        <v>0.12189999999999999</v>
      </c>
      <c r="I22" s="22">
        <v>-4115.07</v>
      </c>
    </row>
    <row r="23" spans="1:9" x14ac:dyDescent="0.15">
      <c r="A23" s="26">
        <v>16740</v>
      </c>
      <c r="B23" s="27" t="s">
        <v>126</v>
      </c>
      <c r="C23" s="38" t="s">
        <v>127</v>
      </c>
      <c r="D23" s="27" t="s">
        <v>74</v>
      </c>
      <c r="E23" s="44">
        <v>2000</v>
      </c>
      <c r="F23" s="41">
        <v>1</v>
      </c>
      <c r="G23" s="42">
        <v>-102301.37</v>
      </c>
      <c r="H23" s="41">
        <v>9.9199999999999997E-2</v>
      </c>
      <c r="I23" s="40">
        <v>-4093.25</v>
      </c>
    </row>
    <row r="24" spans="1:9" ht="14" x14ac:dyDescent="0.15">
      <c r="A24" s="15">
        <v>12060</v>
      </c>
      <c r="B24" s="16" t="s">
        <v>129</v>
      </c>
      <c r="C24" s="16" t="s">
        <v>130</v>
      </c>
      <c r="D24" s="19" t="s">
        <v>91</v>
      </c>
      <c r="E24" s="50">
        <v>1000</v>
      </c>
      <c r="F24" s="23">
        <v>1</v>
      </c>
      <c r="G24" s="24">
        <v>-105814.39</v>
      </c>
      <c r="H24" s="23">
        <v>0.12640000000000001</v>
      </c>
      <c r="I24" s="20">
        <v>-4097.7</v>
      </c>
    </row>
    <row r="25" spans="1:9" ht="15" thickBot="1" x14ac:dyDescent="0.2">
      <c r="A25" s="53">
        <v>35840</v>
      </c>
      <c r="B25" s="54" t="s">
        <v>133</v>
      </c>
      <c r="C25" s="54" t="s">
        <v>133</v>
      </c>
      <c r="D25" s="57" t="s">
        <v>97</v>
      </c>
      <c r="E25" s="51">
        <v>1000</v>
      </c>
      <c r="F25" s="60">
        <v>1</v>
      </c>
      <c r="G25" s="61">
        <v>-114238.04</v>
      </c>
      <c r="H25" s="60">
        <v>0.1593</v>
      </c>
      <c r="I25" s="59">
        <v>-4825.6099999999997</v>
      </c>
    </row>
    <row r="26" spans="1:9" ht="14" x14ac:dyDescent="0.15">
      <c r="A26" s="26">
        <v>40060</v>
      </c>
      <c r="B26" s="27" t="s">
        <v>87</v>
      </c>
      <c r="C26" s="27" t="s">
        <v>87</v>
      </c>
      <c r="D26" s="30" t="s">
        <v>138</v>
      </c>
      <c r="E26" s="44">
        <v>2000</v>
      </c>
      <c r="F26" s="33">
        <v>1</v>
      </c>
      <c r="G26" s="34">
        <v>-118455.01</v>
      </c>
      <c r="H26" s="33">
        <v>0.10539999999999999</v>
      </c>
      <c r="I26" s="32">
        <v>-3928.99</v>
      </c>
    </row>
    <row r="27" spans="1:9" ht="14" x14ac:dyDescent="0.15">
      <c r="A27" s="15">
        <v>29460</v>
      </c>
      <c r="B27" s="16" t="s">
        <v>139</v>
      </c>
      <c r="C27" s="16" t="s">
        <v>140</v>
      </c>
      <c r="D27" s="19" t="s">
        <v>143</v>
      </c>
      <c r="E27" s="50">
        <v>1000</v>
      </c>
      <c r="F27" s="23">
        <v>1</v>
      </c>
      <c r="G27" s="24">
        <v>-121197.94</v>
      </c>
      <c r="H27" s="23">
        <v>0.15290000000000001</v>
      </c>
      <c r="I27" s="22">
        <v>-4835.0200000000004</v>
      </c>
    </row>
    <row r="28" spans="1:9" ht="14" x14ac:dyDescent="0.15">
      <c r="A28" s="26">
        <v>22220</v>
      </c>
      <c r="B28" s="27" t="s">
        <v>123</v>
      </c>
      <c r="C28" s="27" t="s">
        <v>144</v>
      </c>
      <c r="D28" s="30" t="s">
        <v>138</v>
      </c>
      <c r="E28" s="44">
        <v>2500</v>
      </c>
      <c r="F28" s="33">
        <v>1</v>
      </c>
      <c r="G28" s="34">
        <v>-125723.6</v>
      </c>
      <c r="H28" s="33">
        <v>9.4299999999999995E-2</v>
      </c>
      <c r="I28" s="32">
        <v>-4582.97</v>
      </c>
    </row>
    <row r="29" spans="1:9" x14ac:dyDescent="0.15">
      <c r="A29" s="26">
        <v>36420</v>
      </c>
      <c r="B29" s="27" t="s">
        <v>148</v>
      </c>
      <c r="C29" s="27" t="s">
        <v>149</v>
      </c>
      <c r="D29" s="27" t="s">
        <v>153</v>
      </c>
      <c r="E29" s="44">
        <v>2500</v>
      </c>
      <c r="F29" s="33">
        <v>1</v>
      </c>
      <c r="G29" s="34">
        <v>-127479.05</v>
      </c>
      <c r="H29" s="33">
        <v>0.11799999999999999</v>
      </c>
      <c r="I29" s="32">
        <v>-4784.0200000000004</v>
      </c>
    </row>
    <row r="30" spans="1:9" ht="14" x14ac:dyDescent="0.15">
      <c r="A30" s="26">
        <v>19780</v>
      </c>
      <c r="B30" s="27" t="s">
        <v>154</v>
      </c>
      <c r="C30" s="27" t="s">
        <v>140</v>
      </c>
      <c r="D30" s="30" t="s">
        <v>138</v>
      </c>
      <c r="E30" s="44">
        <v>100000</v>
      </c>
      <c r="F30" s="33">
        <v>1</v>
      </c>
      <c r="G30" s="34">
        <v>-189372.79</v>
      </c>
      <c r="H30" s="33">
        <v>0.1338</v>
      </c>
      <c r="I30" s="32">
        <v>-4832.71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reopt_msa_outputs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A Bianchi</cp:lastModifiedBy>
  <dcterms:created xsi:type="dcterms:W3CDTF">2023-05-10T00:50:49Z</dcterms:created>
  <dcterms:modified xsi:type="dcterms:W3CDTF">2023-05-12T00:59:53Z</dcterms:modified>
</cp:coreProperties>
</file>